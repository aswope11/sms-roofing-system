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otals" sheetId="1" state="visible" r:id="rId1"/>
    <sheet xmlns:r="http://schemas.openxmlformats.org/officeDocument/2006/relationships" name="Bid" sheetId="2" state="visible" r:id="rId2"/>
    <sheet xmlns:r="http://schemas.openxmlformats.org/officeDocument/2006/relationships" name="Material Order" sheetId="3" state="visible" r:id="rId3"/>
    <sheet xmlns:r="http://schemas.openxmlformats.org/officeDocument/2006/relationships" name="Labor" sheetId="4" state="visible" r:id="rId4"/>
    <sheet xmlns:r="http://schemas.openxmlformats.org/officeDocument/2006/relationships" name="Bid (All-In Priced)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.00"/>
    <numFmt numFmtId="165" formatCode="0&quot;/12&quot;"/>
    <numFmt numFmtId="166" formatCode="0.0000"/>
    <numFmt numFmtId="167" formatCode="\$#,##0"/>
    <numFmt numFmtId="168" formatCode="\$#,##0.00&quot;/LF&quot;"/>
    <numFmt numFmtId="169" formatCode="\$#,##0.00&quot;/sq&quot;"/>
  </numFmts>
  <fonts count="33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FFFFFF"/>
      <sz val="9"/>
    </font>
    <font>
      <name val="Arial"/>
      <charset val="1"/>
      <family val="0"/>
      <color theme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sz val="10"/>
    </font>
    <font>
      <name val="Arial"/>
      <charset val="1"/>
      <family val="0"/>
      <i val="1"/>
      <color rgb="FF555555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1F3864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theme="1"/>
      <sz val="10"/>
    </font>
    <font>
      <name val="Arial"/>
      <charset val="1"/>
      <family val="0"/>
      <i val="1"/>
      <color rgb="FFC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7030A0"/>
      <sz val="10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color rgb="FFE36C0A"/>
      <sz val="10"/>
    </font>
    <font>
      <name val="Arial"/>
      <charset val="1"/>
      <family val="0"/>
      <b val="1"/>
      <color rgb="FF008080"/>
      <sz val="10"/>
    </font>
    <font>
      <name val="Arial"/>
      <charset val="1"/>
      <family val="0"/>
      <color rgb="FF1155CC"/>
      <sz val="9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7030A0"/>
      <sz val="9"/>
    </font>
    <font>
      <name val="Arial"/>
      <charset val="1"/>
      <family val="0"/>
      <b val="1"/>
      <color rgb="FF006100"/>
      <sz val="9"/>
    </font>
    <font>
      <name val="Arial"/>
      <charset val="1"/>
      <family val="0"/>
      <b val="1"/>
      <color rgb="FFE36C0A"/>
      <sz val="9"/>
    </font>
    <font>
      <name val="Arial"/>
      <charset val="1"/>
      <family val="0"/>
      <b val="1"/>
      <color rgb="FF008080"/>
      <sz val="9"/>
    </font>
    <font>
      <name val="Arial"/>
      <charset val="1"/>
      <family val="0"/>
      <b val="1"/>
      <color rgb="FF1155CC"/>
      <sz val="9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CC0000"/>
      <sz val="10"/>
    </font>
  </fonts>
  <fills count="15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E2EFDA"/>
      </patternFill>
    </fill>
    <fill>
      <patternFill patternType="solid">
        <fgColor rgb="FF2E5496"/>
        <bgColor rgb="FF1155CC"/>
      </patternFill>
    </fill>
    <fill>
      <patternFill patternType="solid">
        <fgColor rgb="FFEAF1FB"/>
        <bgColor rgb="FFE2EFDA"/>
      </patternFill>
    </fill>
    <fill>
      <patternFill patternType="solid">
        <fgColor rgb="FF404040"/>
        <bgColor rgb="FF555555"/>
      </patternFill>
    </fill>
    <fill>
      <patternFill patternType="solid">
        <fgColor rgb="FFD9D9D9"/>
        <bgColor rgb="FFD9E2F3"/>
      </patternFill>
    </fill>
    <fill>
      <patternFill patternType="solid">
        <fgColor rgb="FFD9E2F3"/>
        <bgColor rgb="FFD9D9D9"/>
      </patternFill>
    </fill>
    <fill>
      <patternFill patternType="solid">
        <fgColor rgb="FF1F6E5E"/>
        <bgColor rgb="FF008080"/>
      </patternFill>
    </fill>
    <fill>
      <patternFill patternType="solid">
        <fgColor rgb="FF5B3A7E"/>
        <bgColor rgb="FF7030A0"/>
      </patternFill>
    </fill>
    <fill>
      <patternFill patternType="solid">
        <fgColor rgb="FFE2EFDA"/>
        <bgColor rgb="FFEAF1FB"/>
      </patternFill>
    </fill>
    <fill>
      <patternFill patternType="solid">
        <fgColor rgb="FFC6EFCE"/>
        <bgColor rgb="FFE2EFDA"/>
      </patternFill>
    </fill>
    <fill>
      <patternFill patternType="solid">
        <fgColor rgb="FFFFE599"/>
        <bgColor rgb="FFFFF2CC"/>
      </patternFill>
    </fill>
    <fill>
      <patternFill patternType="solid">
        <fgColor rgb="FFA9D08E"/>
        <bgColor rgb="FFBFBFB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9" fontId="7" fillId="3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3" fontId="7" fillId="0" borderId="1" applyAlignment="1" pivotButton="0" quotePrefix="0" xfId="0">
      <alignment horizontal="center" vertical="bottom"/>
    </xf>
    <xf numFmtId="4" fontId="7" fillId="0" borderId="1" applyAlignment="1" pivotButton="0" quotePrefix="0" xfId="0">
      <alignment horizontal="center" vertical="bottom"/>
    </xf>
    <xf numFmtId="4" fontId="8" fillId="0" borderId="1" applyAlignment="1" pivotButton="0" quotePrefix="0" xfId="0">
      <alignment horizontal="right" vertical="bottom"/>
    </xf>
    <xf numFmtId="0" fontId="15" fillId="7" borderId="0" applyAlignment="1" pivotButton="0" quotePrefix="0" xfId="0">
      <alignment horizontal="general" vertical="bottom"/>
    </xf>
    <xf numFmtId="3" fontId="15" fillId="7" borderId="1" applyAlignment="1" pivotButton="0" quotePrefix="0" xfId="0">
      <alignment horizontal="center" vertical="bottom"/>
    </xf>
    <xf numFmtId="0" fontId="0" fillId="7" borderId="0" applyAlignment="1" pivotButton="0" quotePrefix="0" xfId="0">
      <alignment horizontal="general" vertical="bottom"/>
    </xf>
    <xf numFmtId="4" fontId="15" fillId="7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4" fontId="8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2" fontId="15" fillId="7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center" vertical="bottom"/>
    </xf>
    <xf numFmtId="2" fontId="16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center" vertical="bottom"/>
    </xf>
    <xf numFmtId="4" fontId="7" fillId="0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center" vertical="bottom"/>
    </xf>
    <xf numFmtId="3" fontId="8" fillId="0" borderId="1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23" fillId="5" borderId="0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/>
    </xf>
    <xf numFmtId="0" fontId="29" fillId="8" borderId="2" applyAlignment="1" pivotButton="0" quotePrefix="0" xfId="0">
      <alignment horizontal="center" vertical="bottom"/>
    </xf>
    <xf numFmtId="165" fontId="30" fillId="0" borderId="2" applyAlignment="1" pivotButton="0" quotePrefix="0" xfId="0">
      <alignment horizontal="center" vertical="bottom"/>
    </xf>
    <xf numFmtId="166" fontId="30" fillId="0" borderId="2" applyAlignment="1" pivotButton="0" quotePrefix="0" xfId="0">
      <alignment horizontal="center" vertical="bottom"/>
    </xf>
    <xf numFmtId="166" fontId="7" fillId="3" borderId="1" applyAlignment="1" pivotButton="0" quotePrefix="0" xfId="0">
      <alignment horizontal="center" vertical="bottom"/>
    </xf>
    <xf numFmtId="3" fontId="8" fillId="0" borderId="1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top" wrapText="1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4" fillId="6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167" fontId="7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15" fillId="7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4" fillId="6" borderId="1" applyAlignment="1" pivotButton="0" quotePrefix="0" xfId="0">
      <alignment horizontal="center" vertical="bottom"/>
    </xf>
    <xf numFmtId="0" fontId="12" fillId="9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164" fontId="12" fillId="9" borderId="1" applyAlignment="1" pivotButton="0" quotePrefix="0" xfId="0">
      <alignment horizontal="general" vertical="bottom"/>
    </xf>
    <xf numFmtId="0" fontId="4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general" vertical="bottom"/>
    </xf>
    <xf numFmtId="4" fontId="8" fillId="0" borderId="1" applyAlignment="1" pivotButton="0" quotePrefix="0" xfId="0">
      <alignment horizontal="center" vertical="bottom"/>
    </xf>
    <xf numFmtId="167" fontId="17" fillId="0" borderId="1" applyAlignment="1" pivotButton="0" quotePrefix="0" xfId="0">
      <alignment horizontal="center" vertical="bottom"/>
    </xf>
    <xf numFmtId="0" fontId="12" fillId="10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164" fontId="12" fillId="10" borderId="1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bottom"/>
    </xf>
    <xf numFmtId="165" fontId="17" fillId="0" borderId="0" applyAlignment="1" pivotButton="0" quotePrefix="0" xfId="0">
      <alignment horizontal="center" vertical="bottom"/>
    </xf>
    <xf numFmtId="167" fontId="7" fillId="0" borderId="0" applyAlignment="1" pivotButton="0" quotePrefix="0" xfId="0">
      <alignment horizontal="center" vertical="bottom"/>
    </xf>
    <xf numFmtId="0" fontId="23" fillId="8" borderId="0" applyAlignment="1" pivotButton="0" quotePrefix="0" xfId="0">
      <alignment horizontal="general" vertical="bottom"/>
    </xf>
    <xf numFmtId="167" fontId="7" fillId="3" borderId="1" applyAlignment="1" pivotButton="0" quotePrefix="0" xfId="0">
      <alignment horizontal="center" vertical="bottom"/>
    </xf>
    <xf numFmtId="0" fontId="15" fillId="7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164" fontId="15" fillId="11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15" fillId="11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31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4" fontId="31" fillId="0" borderId="1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general" vertical="bottom"/>
    </xf>
    <xf numFmtId="0" fontId="10" fillId="12" borderId="0" applyAlignment="1" pivotButton="0" quotePrefix="0" xfId="0">
      <alignment horizontal="general" vertical="bottom"/>
    </xf>
    <xf numFmtId="168" fontId="10" fillId="12" borderId="0" applyAlignment="1" pivotButton="0" quotePrefix="0" xfId="0">
      <alignment horizontal="general" vertical="bottom"/>
    </xf>
    <xf numFmtId="164" fontId="10" fillId="12" borderId="0" applyAlignment="1" pivotButton="0" quotePrefix="0" xfId="0">
      <alignment horizontal="general" vertical="bottom"/>
    </xf>
    <xf numFmtId="2" fontId="32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10" fillId="13" borderId="0" applyAlignment="1" pivotButton="0" quotePrefix="0" xfId="0">
      <alignment horizontal="general" vertical="bottom"/>
    </xf>
    <xf numFmtId="164" fontId="10" fillId="13" borderId="0" applyAlignment="1" pivotButton="0" quotePrefix="0" xfId="0">
      <alignment horizontal="general" vertical="bottom"/>
    </xf>
    <xf numFmtId="0" fontId="17" fillId="12" borderId="0" applyAlignment="1" pivotButton="0" quotePrefix="0" xfId="0">
      <alignment horizontal="general" vertical="bottom"/>
    </xf>
    <xf numFmtId="164" fontId="17" fillId="12" borderId="0" applyAlignment="1" pivotButton="0" quotePrefix="0" xfId="0">
      <alignment horizontal="general" vertical="bottom"/>
    </xf>
    <xf numFmtId="0" fontId="17" fillId="13" borderId="0" applyAlignment="1" pivotButton="0" quotePrefix="0" xfId="0">
      <alignment horizontal="general" vertical="bottom"/>
    </xf>
    <xf numFmtId="164" fontId="17" fillId="13" borderId="0" applyAlignment="1" pivotButton="0" quotePrefix="0" xfId="0">
      <alignment horizontal="general" vertical="bottom"/>
    </xf>
    <xf numFmtId="0" fontId="17" fillId="14" borderId="0" applyAlignment="1" pivotButton="0" quotePrefix="0" xfId="0">
      <alignment horizontal="general" vertical="bottom"/>
    </xf>
    <xf numFmtId="164" fontId="17" fillId="14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0" fontId="23" fillId="8" borderId="0" applyAlignment="1" pivotButton="0" quotePrefix="0" xfId="0">
      <alignment horizontal="general" vertical="top" wrapText="1"/>
    </xf>
    <xf numFmtId="169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9" fontId="7" fillId="3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3" fontId="7" fillId="0" borderId="1" applyAlignment="1" pivotButton="0" quotePrefix="0" xfId="0">
      <alignment horizontal="center" vertical="bottom"/>
    </xf>
    <xf numFmtId="4" fontId="7" fillId="0" borderId="1" applyAlignment="1" pivotButton="0" quotePrefix="0" xfId="0">
      <alignment horizontal="center" vertical="bottom"/>
    </xf>
    <xf numFmtId="4" fontId="8" fillId="0" borderId="1" applyAlignment="1" pivotButton="0" quotePrefix="0" xfId="0">
      <alignment horizontal="right" vertical="bottom"/>
    </xf>
    <xf numFmtId="0" fontId="15" fillId="7" borderId="0" applyAlignment="1" pivotButton="0" quotePrefix="0" xfId="0">
      <alignment horizontal="general" vertical="bottom"/>
    </xf>
    <xf numFmtId="3" fontId="15" fillId="7" borderId="1" applyAlignment="1" pivotButton="0" quotePrefix="0" xfId="0">
      <alignment horizontal="center" vertical="bottom"/>
    </xf>
    <xf numFmtId="0" fontId="0" fillId="7" borderId="0" applyAlignment="1" pivotButton="0" quotePrefix="0" xfId="0">
      <alignment horizontal="general" vertical="bottom"/>
    </xf>
    <xf numFmtId="4" fontId="15" fillId="7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4" fontId="8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2" fontId="15" fillId="7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center" vertical="bottom"/>
    </xf>
    <xf numFmtId="2" fontId="16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center" vertical="bottom"/>
    </xf>
    <xf numFmtId="4" fontId="7" fillId="0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center" vertical="bottom"/>
    </xf>
    <xf numFmtId="3" fontId="8" fillId="0" borderId="1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23" fillId="5" borderId="0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/>
    </xf>
    <xf numFmtId="0" fontId="29" fillId="8" borderId="2" applyAlignment="1" pivotButton="0" quotePrefix="0" xfId="0">
      <alignment horizontal="center" vertical="bottom"/>
    </xf>
    <xf numFmtId="165" fontId="30" fillId="0" borderId="2" applyAlignment="1" pivotButton="0" quotePrefix="0" xfId="0">
      <alignment horizontal="center" vertical="bottom"/>
    </xf>
    <xf numFmtId="166" fontId="30" fillId="0" borderId="2" applyAlignment="1" pivotButton="0" quotePrefix="0" xfId="0">
      <alignment horizontal="center" vertical="bottom"/>
    </xf>
    <xf numFmtId="166" fontId="7" fillId="3" borderId="1" applyAlignment="1" pivotButton="0" quotePrefix="0" xfId="0">
      <alignment horizontal="center" vertical="bottom"/>
    </xf>
    <xf numFmtId="3" fontId="8" fillId="0" borderId="1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top" wrapText="1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4" fillId="6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167" fontId="7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15" fillId="7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4" fillId="6" borderId="1" applyAlignment="1" pivotButton="0" quotePrefix="0" xfId="0">
      <alignment horizontal="center" vertical="bottom"/>
    </xf>
    <xf numFmtId="0" fontId="12" fillId="9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164" fontId="12" fillId="9" borderId="1" applyAlignment="1" pivotButton="0" quotePrefix="0" xfId="0">
      <alignment horizontal="general" vertical="bottom"/>
    </xf>
    <xf numFmtId="0" fontId="4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general" vertical="bottom"/>
    </xf>
    <xf numFmtId="4" fontId="8" fillId="0" borderId="1" applyAlignment="1" pivotButton="0" quotePrefix="0" xfId="0">
      <alignment horizontal="center" vertical="bottom"/>
    </xf>
    <xf numFmtId="167" fontId="17" fillId="0" borderId="1" applyAlignment="1" pivotButton="0" quotePrefix="0" xfId="0">
      <alignment horizontal="center" vertical="bottom"/>
    </xf>
    <xf numFmtId="0" fontId="12" fillId="10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164" fontId="12" fillId="10" borderId="1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bottom"/>
    </xf>
    <xf numFmtId="165" fontId="17" fillId="0" borderId="0" applyAlignment="1" pivotButton="0" quotePrefix="0" xfId="0">
      <alignment horizontal="center" vertical="bottom"/>
    </xf>
    <xf numFmtId="167" fontId="7" fillId="0" borderId="0" applyAlignment="1" pivotButton="0" quotePrefix="0" xfId="0">
      <alignment horizontal="center" vertical="bottom"/>
    </xf>
    <xf numFmtId="0" fontId="23" fillId="8" borderId="0" applyAlignment="1" pivotButton="0" quotePrefix="0" xfId="0">
      <alignment horizontal="general" vertical="bottom"/>
    </xf>
    <xf numFmtId="167" fontId="7" fillId="3" borderId="1" applyAlignment="1" pivotButton="0" quotePrefix="0" xfId="0">
      <alignment horizontal="center" vertical="bottom"/>
    </xf>
    <xf numFmtId="0" fontId="15" fillId="7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164" fontId="15" fillId="11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15" fillId="11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31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4" fontId="31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AF1FB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1F6E5E"/>
      <rgbColor rgb="FF0000FF"/>
      <rgbColor rgb="FF00CCFF"/>
      <rgbColor rgb="FFE2EFDA"/>
      <rgbColor rgb="FFC6EFCE"/>
      <rgbColor rgb="FFD9E2F3"/>
      <rgbColor rgb="FFA9D08E"/>
      <rgbColor rgb="FFFF99CC"/>
      <rgbColor rgb="FFCC99FF"/>
      <rgbColor rgb="FFFFE599"/>
      <rgbColor rgb="FF2E5496"/>
      <rgbColor rgb="FF33CCCC"/>
      <rgbColor rgb="FF99CC00"/>
      <rgbColor rgb="FFFFCC00"/>
      <rgbColor rgb="FFFF9900"/>
      <rgbColor rgb="FFE36C0A"/>
      <rgbColor rgb="FF555555"/>
      <rgbColor rgb="FF9AA5B1"/>
      <rgbColor rgb="FF1F3864"/>
      <rgbColor rgb="FF339966"/>
      <rgbColor rgb="FF003300"/>
      <rgbColor rgb="FF333300"/>
      <rgbColor rgb="FF993300"/>
      <rgbColor rgb="FF993366"/>
      <rgbColor rgb="FF5B3A7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46" customWidth="1" style="101" min="1" max="1"/>
    <col width="16" customWidth="1" style="101" min="2" max="2"/>
    <col width="12" customWidth="1" style="101" min="3" max="26"/>
  </cols>
  <sheetData>
    <row r="1" ht="25.5" customHeight="1" s="102">
      <c r="A1" s="103" t="inlineStr">
        <is>
          <t>TOTALS  —  BERRIDGE ZEE-LOCK (DOUBLE-LOCK)</t>
        </is>
      </c>
    </row>
    <row r="2" ht="15.75" customHeight="1" s="102">
      <c r="A2" s="104" t="inlineStr">
        <is>
          <t>Labor and Materials pull LIVE from their tabs. Material markup is the only lever here.</t>
        </is>
      </c>
    </row>
    <row r="3" ht="15" customHeight="1" s="102"/>
    <row r="4" ht="15" customHeight="1" s="102">
      <c r="A4" s="105" t="inlineStr">
        <is>
          <t>Material markup %</t>
        </is>
      </c>
      <c r="B4" s="106" t="n">
        <v>0.2</v>
      </c>
    </row>
    <row r="5" ht="15" customHeight="1" s="102"/>
    <row r="6" ht="15" customHeight="1" s="102">
      <c r="A6" s="107" t="inlineStr">
        <is>
          <t>Labor (from Labor tab)</t>
        </is>
      </c>
      <c r="B6" s="108">
        <f>Labor!E8</f>
        <v/>
      </c>
    </row>
    <row r="7" ht="15" customHeight="1" s="102">
      <c r="A7" s="107" t="inlineStr">
        <is>
          <t>Materials (from Material Order tab)</t>
        </is>
      </c>
      <c r="B7" s="108">
        <f>'Material Order'!E38</f>
        <v/>
      </c>
    </row>
    <row r="8" ht="15" customHeight="1" s="102">
      <c r="A8" s="107" t="inlineStr">
        <is>
          <t>Material markup (20%)</t>
        </is>
      </c>
      <c r="B8" s="108">
        <f>B7*B4</f>
        <v/>
      </c>
    </row>
    <row r="9" ht="21.75" customHeight="1" s="102">
      <c r="A9" s="109" t="inlineStr">
        <is>
          <t>TOTAL BID — clip boxes</t>
        </is>
      </c>
      <c r="B9" s="110">
        <f>B6+B7+B8</f>
        <v/>
      </c>
    </row>
    <row r="10" ht="15" customHeight="1" s="102">
      <c r="A10" s="111" t="inlineStr">
        <is>
          <t>TOTAL BID — continuous clip</t>
        </is>
      </c>
      <c r="B10" s="112">
        <f>B9+(('Bid (All-In Priced)'!I8*0.59)-'Bid (All-In Priced)'!G59)*1.0825*1.2</f>
        <v/>
      </c>
    </row>
    <row r="11" ht="15" customHeight="1" s="102">
      <c r="A11" s="113" t="inlineStr">
        <is>
          <t>Labor carries no markup (the ×2 in $500/man-day is its profit). Markup applies to materials only.</t>
        </is>
      </c>
    </row>
    <row r="12" ht="15" customHeight="1" s="102">
      <c r="A12" s="101">
        <f>"Same bid both ways: clip boxes "&amp;TEXT('Bid (All-In Priced)'!G59,"$#,##0.00")&amp;" vs continuous "&amp;TEXT('Bid (All-In Priced)'!I8*0.59,"$#,##0.00")&amp;" material — difference "&amp;TEXT(B10-B9,"$#,##0.00")&amp;" on the total."</f>
        <v/>
      </c>
    </row>
    <row r="21" ht="15.75" customHeight="1" s="102"/>
    <row r="22" ht="15.75" customHeight="1" s="102"/>
    <row r="23" ht="15.75" customHeight="1" s="102"/>
    <row r="24" ht="15.75" customHeight="1" s="102"/>
    <row r="25" ht="15.75" customHeight="1" s="102"/>
    <row r="26" ht="15.75" customHeight="1" s="102"/>
    <row r="27" ht="15.75" customHeight="1" s="102"/>
    <row r="28" ht="15.75" customHeight="1" s="102"/>
    <row r="29" ht="15.75" customHeight="1" s="102"/>
    <row r="30" ht="15.75" customHeight="1" s="102"/>
    <row r="31" ht="15.75" customHeight="1" s="102"/>
    <row r="32" ht="15.75" customHeight="1" s="102"/>
    <row r="33" ht="15.75" customHeight="1" s="102"/>
    <row r="34" ht="15.75" customHeight="1" s="102"/>
    <row r="35" ht="15.75" customHeight="1" s="102"/>
    <row r="36" ht="15.75" customHeight="1" s="102"/>
    <row r="37" ht="15.75" customHeight="1" s="102"/>
    <row r="38" ht="15.75" customHeight="1" s="102"/>
    <row r="39" ht="15.75" customHeight="1" s="102"/>
    <row r="40" ht="15.75" customHeight="1" s="102"/>
    <row r="41" ht="15.75" customHeight="1" s="102"/>
    <row r="42" ht="15.75" customHeight="1" s="102"/>
    <row r="43" ht="15.75" customHeight="1" s="102"/>
    <row r="44" ht="15.75" customHeight="1" s="102"/>
    <row r="45" ht="15.75" customHeight="1" s="102"/>
    <row r="46" ht="15.75" customHeight="1" s="102"/>
    <row r="47" ht="15.75" customHeight="1" s="102"/>
    <row r="48" ht="15.75" customHeight="1" s="102"/>
    <row r="49" ht="15.75" customHeight="1" s="102"/>
    <row r="50" ht="15.75" customHeight="1" s="102"/>
    <row r="51" ht="15.75" customHeight="1" s="102"/>
    <row r="52" ht="15.75" customHeight="1" s="102"/>
    <row r="53" ht="15.75" customHeight="1" s="102"/>
    <row r="54" ht="15.75" customHeight="1" s="102"/>
    <row r="55" ht="15.75" customHeight="1" s="102"/>
    <row r="56" ht="15.75" customHeight="1" s="102"/>
    <row r="57" ht="15.75" customHeight="1" s="102"/>
    <row r="58" ht="15.75" customHeight="1" s="102"/>
    <row r="59" ht="15.75" customHeight="1" s="102"/>
    <row r="60" ht="15.75" customHeight="1" s="102"/>
    <row r="61" ht="15.75" customHeight="1" s="102"/>
    <row r="62" ht="15.75" customHeight="1" s="102"/>
    <row r="63" ht="15.75" customHeight="1" s="102"/>
    <row r="64" ht="15.75" customHeight="1" s="102"/>
    <row r="65" ht="15.75" customHeight="1" s="102"/>
    <row r="66" ht="15.75" customHeight="1" s="102"/>
    <row r="67" ht="15.75" customHeight="1" s="102"/>
    <row r="68" ht="15.75" customHeight="1" s="102"/>
    <row r="69" ht="15.75" customHeight="1" s="102"/>
    <row r="70" ht="15.75" customHeight="1" s="102"/>
    <row r="71" ht="15.75" customHeight="1" s="102"/>
    <row r="72" ht="15.75" customHeight="1" s="102"/>
    <row r="73" ht="15.75" customHeight="1" s="102"/>
    <row r="74" ht="15.75" customHeight="1" s="102"/>
    <row r="75" ht="15.75" customHeight="1" s="102"/>
    <row r="76" ht="15.75" customHeight="1" s="102"/>
    <row r="77" ht="15.75" customHeight="1" s="102"/>
    <row r="78" ht="15.75" customHeight="1" s="102"/>
    <row r="79" ht="15.75" customHeight="1" s="102"/>
    <row r="80" ht="15.75" customHeight="1" s="102"/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3">
    <mergeCell ref="A2:E2"/>
    <mergeCell ref="A11:E11"/>
    <mergeCell ref="A1:E1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43359375" defaultRowHeight="15" zeroHeight="0" outlineLevelRow="0"/>
  <cols>
    <col width="34" customWidth="1" style="101" min="1" max="1"/>
    <col width="13" customWidth="1" style="101" min="2" max="2"/>
    <col width="11" customWidth="1" style="101" min="3" max="3"/>
    <col width="9" customWidth="1" style="101" min="4" max="4"/>
    <col width="10" customWidth="1" style="101" min="5" max="5"/>
    <col width="11" customWidth="1" style="101" min="6" max="7"/>
    <col width="12" customWidth="1" style="101" min="8" max="9"/>
    <col width="8.710000000000001" customWidth="1" style="101" min="10" max="26"/>
  </cols>
  <sheetData>
    <row r="1" ht="25.5" customHeight="1" s="102">
      <c r="A1" s="103" t="inlineStr">
        <is>
          <t>SMS ROOFING  —  BERRIDGE ZEE-LOCK (DOUBLE-LOCK)  •  TEMPLATE — type the job into the blue cells</t>
        </is>
      </c>
    </row>
    <row r="2" ht="15.75" customHeight="1" s="102">
      <c r="A2" s="114" t="inlineStr">
        <is>
          <t>Blue rows explain the line above with LIVE numbers. RED = raw/unrounded. Material pricing lives on the Material Order tab.</t>
        </is>
      </c>
    </row>
    <row r="3" ht="15" customHeight="1" s="102"/>
    <row r="4" ht="19.5" customHeight="1" s="102">
      <c r="A4" s="115" t="inlineStr">
        <is>
          <t>1 · PANEL TAKEOFF   —   quantity × length = linear feet (LF)</t>
        </is>
      </c>
    </row>
    <row r="5" ht="24" customHeight="1" s="102">
      <c r="A5" s="116">
        <f>"A takeoff is counting what you install. Qty × Length = the LF that run needs. Sum all = total panel LF."</f>
        <v/>
      </c>
    </row>
    <row r="6" ht="24" customHeight="1" s="102">
      <c r="A6" s="117" t="inlineStr">
        <is>
          <t>Run</t>
        </is>
      </c>
      <c r="B6" s="117" t="inlineStr">
        <is>
          <t>Qty</t>
        </is>
      </c>
      <c r="C6" s="117" t="inlineStr">
        <is>
          <t>Length ft</t>
        </is>
      </c>
      <c r="I6" s="117" t="inlineStr">
        <is>
          <t>LF (Qty×Len)</t>
        </is>
      </c>
    </row>
    <row r="7" ht="15" customHeight="1" s="102">
      <c r="A7" s="118" t="inlineStr">
        <is>
          <t>Panel LF (lump from takeoff)</t>
        </is>
      </c>
      <c r="B7" s="119" t="n">
        <v>1</v>
      </c>
      <c r="C7" s="120" t="n">
        <v>0</v>
      </c>
      <c r="I7" s="121">
        <f>B7*C7</f>
        <v/>
      </c>
    </row>
    <row r="8" ht="15" customHeight="1" s="102">
      <c r="A8" s="122" t="inlineStr">
        <is>
          <t>TOTAL PANEL LF</t>
        </is>
      </c>
      <c r="B8" s="123">
        <f>SUM(B7:B7)</f>
        <v/>
      </c>
      <c r="C8" s="124" t="n"/>
      <c r="D8" s="124" t="n"/>
      <c r="E8" s="124" t="n"/>
      <c r="F8" s="124" t="n"/>
      <c r="G8" s="124" t="n"/>
      <c r="H8" s="124" t="n"/>
      <c r="I8" s="125">
        <f>SUM(I7:I7)</f>
        <v/>
      </c>
    </row>
    <row r="9" ht="15" customHeight="1" s="102">
      <c r="A9" s="116">
        <f>"All runs = "&amp;B8&amp;" panels = "&amp;TEXT(I8,"#,##0.00")&amp;" LF — drives coil, fab, labor, clips, vinyl. Add rows above as runs come in."</f>
        <v/>
      </c>
    </row>
    <row r="10" ht="15" customHeight="1" s="102"/>
    <row r="11" ht="15" customHeight="1" s="102">
      <c r="A11" s="115" t="inlineStr">
        <is>
          <t>2 · PANEL SQUARES   —   LF into area (a ‘square’ = 100 sq ft)</t>
        </is>
      </c>
    </row>
    <row r="12" ht="15" customHeight="1" s="102">
      <c r="A12" s="118" t="inlineStr">
        <is>
          <t>Panel coverage width (in)</t>
        </is>
      </c>
      <c r="F12" s="126" t="n">
        <v>16</v>
      </c>
    </row>
    <row r="13" ht="15" customHeight="1" s="102">
      <c r="A13" s="118" t="inlineStr">
        <is>
          <t>Panel SF = LF × (width ÷ 12)</t>
        </is>
      </c>
      <c r="F13" s="127">
        <f>I8*(F12/12)</f>
        <v/>
      </c>
    </row>
    <row r="14" ht="15" customHeight="1" s="102">
      <c r="A14" s="128" t="inlineStr">
        <is>
          <t>Panel SQUARES = SF ÷ 100</t>
        </is>
      </c>
      <c r="F14" s="129">
        <f>F13/100</f>
        <v/>
      </c>
    </row>
    <row r="15" ht="15" customHeight="1" s="102">
      <c r="A15" s="116">
        <f>"Fab, labor, rivets price per square. "&amp;TEXT(I8,"#,##0")&amp;" LF × "&amp;F12&amp;"″÷12 = "&amp;TEXT(F13,"#,##0")&amp;" sf ÷100 = "&amp;TEXT(F14,"0.00")&amp;" sq."</f>
        <v/>
      </c>
    </row>
    <row r="16" ht="15" customHeight="1" s="102"/>
    <row r="17" ht="15" customHeight="1" s="102">
      <c r="A17" s="115" t="inlineStr">
        <is>
          <t>3 · COIL   —   raw metal, full 1000′ (or 500′) rolls</t>
        </is>
      </c>
    </row>
    <row r="18" ht="15" customHeight="1" s="102">
      <c r="A18" s="117" t="inlineStr">
        <is>
          <t>Item</t>
        </is>
      </c>
      <c r="B18" s="117" t="inlineStr">
        <is>
          <t>Need LF</t>
        </is>
      </c>
      <c r="C18" s="117" t="inlineStr">
        <is>
          <t>Coil LF</t>
        </is>
      </c>
      <c r="D18" s="117" t="inlineStr">
        <is>
          <t>Raw</t>
        </is>
      </c>
      <c r="E18" s="117" t="inlineStr">
        <is>
          <t>Coils</t>
        </is>
      </c>
    </row>
    <row r="19" ht="15" customHeight="1" s="102">
      <c r="A19" s="118" t="inlineStr">
        <is>
          <t>Zee-Lock coil</t>
        </is>
      </c>
      <c r="B19" s="127">
        <f>I8</f>
        <v/>
      </c>
      <c r="C19" s="130" t="n">
        <v>500</v>
      </c>
      <c r="D19" s="131">
        <f>B19/C19</f>
        <v/>
      </c>
      <c r="E19" s="132">
        <f>ROUNDUP(D19,0)</f>
        <v/>
      </c>
    </row>
    <row r="20" ht="15" customHeight="1" s="102">
      <c r="A20" s="116">
        <f>"Need "&amp;TEXT(I8,"#,##0")&amp;" LF ÷ "&amp;C19&amp;"′/coil = "&amp;TEXT(D19,"0.00")&amp;" → buy "&amp;E19&amp;" × 500′ coils. (Pricing on Material Order tab.)"</f>
        <v/>
      </c>
    </row>
    <row r="21" ht="15.75" customHeight="1" s="102"/>
    <row r="22" ht="15.75" customHeight="1" s="102">
      <c r="A22" s="115" t="inlineStr">
        <is>
          <t>4 · FLAT METAL   —   drip, hip/ridge, Z flash from 48″×10′ sheets</t>
        </is>
      </c>
    </row>
    <row r="23" ht="15.75" customHeight="1" s="102">
      <c r="A23" s="116">
        <f>"Cut from 48″×10′ sheets. 48 ÷ stretch-out = strips across; ×10′ = LF/sheet. LF ÷ that = sheets (round UP)."</f>
        <v/>
      </c>
    </row>
    <row r="24" ht="15.75" customHeight="1" s="102">
      <c r="A24" s="117" t="inlineStr">
        <is>
          <t>Piece</t>
        </is>
      </c>
      <c r="B24" s="117" t="inlineStr">
        <is>
          <t>LF</t>
        </is>
      </c>
      <c r="C24" s="117" t="inlineStr">
        <is>
          <t>Stretch-out in</t>
        </is>
      </c>
      <c r="D24" s="117" t="inlineStr">
        <is>
          <t>LF/sheet</t>
        </is>
      </c>
      <c r="E24" s="117" t="inlineStr">
        <is>
          <t>Raw sheets</t>
        </is>
      </c>
      <c r="F24" s="117" t="inlineStr">
        <is>
          <t>Sheets</t>
        </is>
      </c>
    </row>
    <row r="25" ht="15.75" customHeight="1" s="102">
      <c r="A25" s="118" t="inlineStr">
        <is>
          <t>D-style drip edge</t>
        </is>
      </c>
      <c r="B25" s="133" t="n">
        <v>0</v>
      </c>
      <c r="C25" s="134" t="n">
        <v>9.5</v>
      </c>
      <c r="D25" s="135">
        <f>FLOOR(48/C25,1)*10</f>
        <v/>
      </c>
      <c r="E25" s="131">
        <f>B25/D25</f>
        <v/>
      </c>
      <c r="F25" s="132">
        <f>ROUNDUP(E25,0)</f>
        <v/>
      </c>
    </row>
    <row r="26" ht="15.75" customHeight="1" s="102">
      <c r="A26" s="116">
        <f>"Drip: "&amp;TEXT(B25,"#,##0")&amp;" LF ÷ "&amp;D25&amp;" LF/sheet (48÷"&amp;TEXT(C25,"0.0")&amp;"″ = "&amp;FLOOR(48/C25,1)&amp;" strips ×10′) = "&amp;TEXT(E25,"0.00")&amp;" → "&amp;F25&amp;" sheets. (Sheet material + fab priced on other tabs.)"</f>
        <v/>
      </c>
    </row>
    <row r="27" ht="15.75" customHeight="1" s="102">
      <c r="A27" s="118" t="inlineStr">
        <is>
          <t>Drip edge cleat  (only if face &gt; 4″)</t>
        </is>
      </c>
      <c r="B27" s="133" t="n"/>
      <c r="C27" s="134" t="n"/>
      <c r="D27" s="135" t="n"/>
      <c r="E27" s="131" t="n"/>
      <c r="F27" s="132" t="n"/>
    </row>
    <row r="28" ht="24" customHeight="1" s="102">
      <c r="A28" s="116" t="inlineStr">
        <is>
          <t>Drip edge cleat: PENDING Adam — only when the drip face is over 4″. LF + stretch-out to confirm; out of every total until then.</t>
        </is>
      </c>
    </row>
    <row r="29" ht="15.75" customHeight="1" s="102">
      <c r="A29" s="136" t="inlineStr">
        <is>
          <t>Rake-edge cap  (req. Z)</t>
        </is>
      </c>
      <c r="B29" s="133" t="n">
        <v>0</v>
      </c>
      <c r="C29" s="134" t="n">
        <v>12</v>
      </c>
      <c r="D29" s="135">
        <f>FLOOR(48/C29,1)*10</f>
        <v/>
      </c>
      <c r="E29" s="131">
        <f>B29/D29</f>
        <v/>
      </c>
      <c r="F29" s="132">
        <f>ROUNDUP(E29,0)</f>
        <v/>
      </c>
    </row>
    <row r="30" ht="19.5" customHeight="1" s="102">
      <c r="A30" s="116">
        <f>"Rake-edge cap: "&amp;TEXT(B29,"#,##0")&amp;" LF ÷ "&amp;D29&amp;" LF/sheet (48÷"&amp;TEXT(C29,"0.0")&amp;"″ = "&amp;FLOOR(48/C29,1)&amp;" strips ×10′) = "&amp;TEXT(E29,"0.00")&amp;" → "&amp;F29&amp;" sheets. (Sheet material + fab priced on other tabs.)"</f>
        <v/>
      </c>
    </row>
    <row r="31" ht="15.75" customHeight="1" s="102">
      <c r="A31" s="118" t="inlineStr">
        <is>
          <t>Rake edge cleat  (galv)</t>
        </is>
      </c>
      <c r="B31" s="133">
        <f>B29</f>
        <v/>
      </c>
      <c r="C31" s="134" t="n">
        <v>5</v>
      </c>
      <c r="D31" s="135">
        <f>FLOOR(48/C31,1)*10</f>
        <v/>
      </c>
      <c r="E31" s="131">
        <f>B31/D31</f>
        <v/>
      </c>
      <c r="F31" s="132">
        <f>ROUNDUP(E31,0)</f>
        <v/>
      </c>
    </row>
    <row r="32" ht="15.75" customHeight="1" s="102">
      <c r="A32" s="116">
        <f>"Rake edge cleat (follows rake-edge): "&amp;TEXT(B31,"#,##0")&amp;" LF ÷ "&amp;D31&amp;" LF/sheet (48÷"&amp;TEXT(C31,"0.0")&amp;"″ = "&amp;FLOOR(48/C31,1)&amp;" strips ×10′) = "&amp;TEXT(E31,"0.00")&amp;" → "&amp;F31&amp;" sheets. (Sheet material + fab priced on other tabs.)"</f>
        <v/>
      </c>
    </row>
    <row r="33" ht="15.75" customHeight="1" s="102">
      <c r="A33" s="118" t="inlineStr">
        <is>
          <t>(W) Valley</t>
        </is>
      </c>
      <c r="B33" s="133" t="n">
        <v>0</v>
      </c>
      <c r="C33" s="134" t="n">
        <v>24</v>
      </c>
      <c r="D33" s="135">
        <f>FLOOR(48/C33,1)*10</f>
        <v/>
      </c>
      <c r="E33" s="131">
        <f>B33/D33</f>
        <v/>
      </c>
      <c r="F33" s="132">
        <f>ROUNDUP(E33,0)</f>
        <v/>
      </c>
    </row>
    <row r="34" ht="24" customHeight="1" s="102">
      <c r="A34" s="116">
        <f>"(W) Valley: "&amp;TEXT(B33,"#,##0")&amp;" LF ÷ "&amp;D33&amp;" LF/sheet (48÷"&amp;TEXT(C33,"0.0")&amp;"″ = "&amp;FLOOR(48/C33,1)&amp;" strips ×10′) = "&amp;TEXT(E33,"0.00")&amp;" → "&amp;F33&amp;" sheets. (Sheet material + fab priced on other tabs.)"</f>
        <v/>
      </c>
    </row>
    <row r="35" ht="15.75" customHeight="1" s="102">
      <c r="A35" s="118" t="inlineStr">
        <is>
          <t>(W) Valley cleat  (both sides ×2)</t>
        </is>
      </c>
      <c r="B35" s="133">
        <f>B33*2</f>
        <v/>
      </c>
      <c r="C35" s="134" t="n">
        <v>3</v>
      </c>
      <c r="D35" s="135">
        <f>FLOOR(48/C35,1)*10</f>
        <v/>
      </c>
      <c r="E35" s="131">
        <f>B35/D35</f>
        <v/>
      </c>
      <c r="F35" s="132">
        <f>ROUNDUP(E35,0)</f>
        <v/>
      </c>
    </row>
    <row r="36" ht="19.5" customHeight="1" s="102">
      <c r="A36" s="116">
        <f>"(W) Valley cleat (valley ×2 sides): "&amp;TEXT(B35,"#,##0")&amp;" LF ÷ "&amp;D35&amp;" LF/sheet (48÷"&amp;TEXT(C35,"0.0")&amp;"″ = "&amp;FLOOR(48/C35,1)&amp;" strips ×10′) = "&amp;TEXT(E35,"0.00")&amp;" → "&amp;F35&amp;" sheets. (Sheet material + fab priced on other tabs.)"</f>
        <v/>
      </c>
    </row>
    <row r="37" ht="24" customHeight="1" s="102">
      <c r="A37" s="136" t="inlineStr">
        <is>
          <t>Hip/Ridge cap  (req. Z ×2 sides)</t>
        </is>
      </c>
      <c r="B37" s="133" t="n">
        <v>0</v>
      </c>
      <c r="C37" s="134" t="n">
        <v>16</v>
      </c>
      <c r="D37" s="135">
        <f>FLOOR(48/C37,1)*10</f>
        <v/>
      </c>
      <c r="E37" s="131">
        <f>B37/D37</f>
        <v/>
      </c>
      <c r="F37" s="132">
        <f>ROUNDUP(E37,0)</f>
        <v/>
      </c>
    </row>
    <row r="38" ht="15.75" customHeight="1" s="102">
      <c r="A38" s="116">
        <f>"Hip/Ridge: "&amp;TEXT(B37,"#,##0")&amp;" LF ÷ "&amp;D37&amp;" LF/sheet (48÷"&amp;TEXT(C37,"0.0")&amp;"″ = "&amp;FLOOR(48/C37,1)&amp;" strips ×10′) = "&amp;TEXT(E37,"0.00")&amp;" → "&amp;F37&amp;" sheets. (Sheet material + fab priced on other tabs.)"</f>
        <v/>
      </c>
    </row>
    <row r="39" ht="24" customHeight="1" s="102">
      <c r="A39" s="136" t="inlineStr">
        <is>
          <t>Rake wall  (req. Z + counterflashing)</t>
        </is>
      </c>
      <c r="B39" s="133" t="n">
        <v>0</v>
      </c>
      <c r="C39" s="134" t="n">
        <v>12</v>
      </c>
      <c r="D39" s="135">
        <f>FLOOR(48/C39,1)*10</f>
        <v/>
      </c>
      <c r="E39" s="131">
        <f>B39/D39</f>
        <v/>
      </c>
      <c r="F39" s="132">
        <f>ROUNDUP(E39,0)</f>
        <v/>
      </c>
    </row>
    <row r="40" ht="15.75" customHeight="1" s="102">
      <c r="A40" s="116">
        <f>"Rake wall: "&amp;TEXT(B39,"#,##0")&amp;" LF ÷ "&amp;D39&amp;" LF/sheet (48÷"&amp;TEXT(C39,"0.0")&amp;"″ = "&amp;FLOOR(48/C39,1)&amp;" strips ×10′) = "&amp;TEXT(E39,"0.00")&amp;" → "&amp;F39&amp;" sheets. (Sheet material + fab priced on other tabs.)"</f>
        <v/>
      </c>
    </row>
    <row r="41" ht="19.5" customHeight="1" s="102">
      <c r="A41" s="118" t="inlineStr">
        <is>
          <t>Head wall  (req. Z + counterflashing)</t>
        </is>
      </c>
      <c r="B41" s="133" t="n"/>
      <c r="C41" s="134" t="n"/>
      <c r="D41" s="135" t="n"/>
      <c r="E41" s="131" t="n"/>
      <c r="F41" s="132" t="n"/>
    </row>
    <row r="42" ht="24" customHeight="1" s="102">
      <c r="A42" s="116" t="inlineStr">
        <is>
          <t>Head wall: none on TEMPLATE — sample/checklist row (works like rake wall: Z + counterflash). Fill LF + SO when a job has one.</t>
        </is>
      </c>
    </row>
    <row r="43" ht="24" customHeight="1" s="102">
      <c r="A43" s="136" t="inlineStr">
        <is>
          <t>Curb — L flash  (req. term-bar CF)</t>
        </is>
      </c>
      <c r="B43" s="133" t="n">
        <v>0</v>
      </c>
      <c r="C43" s="134" t="n">
        <v>16</v>
      </c>
      <c r="D43" s="135">
        <f>FLOOR(48/C43,1)*10</f>
        <v/>
      </c>
      <c r="E43" s="131">
        <f>B43/D43</f>
        <v/>
      </c>
      <c r="F43" s="132">
        <f>ROUNDUP(E43,0)</f>
        <v/>
      </c>
    </row>
    <row r="44" ht="15.75" customHeight="1" s="102">
      <c r="A44" s="116">
        <f>"Curb L flash: "&amp;TEXT(B43,"#,##0")&amp;" LF ÷ "&amp;D43&amp;" LF/sheet (48÷"&amp;TEXT(C43,"0.0")&amp;"″ = "&amp;FLOOR(48/C43,1)&amp;" strips ×10′) = "&amp;TEXT(E43,"0.00")&amp;" → "&amp;F43&amp;" sheets. (Sheet material + fab priced on other tabs.)"</f>
        <v/>
      </c>
    </row>
    <row r="45" ht="30" customHeight="1" s="102">
      <c r="A45" s="118" t="inlineStr">
        <is>
          <t>Z flashing  (BOUGHT — die-formed Zee-Closure)</t>
        </is>
      </c>
      <c r="B45" s="133">
        <f>B29+B37*2+B39+B41</f>
        <v/>
      </c>
      <c r="C45" s="134" t="n">
        <v>5</v>
      </c>
      <c r="D45" s="135">
        <f>FLOOR(48/C45,1)*10</f>
        <v/>
      </c>
      <c r="E45" s="131">
        <f>B45/D45</f>
        <v/>
      </c>
      <c r="F45" s="132">
        <f>ROUNDUP(E45,0)</f>
        <v/>
      </c>
    </row>
    <row r="46" ht="37.5" customHeight="1" s="102">
      <c r="A46" s="137" t="inlineStr">
        <is>
          <t>Z flash:  rake-edge 80′ ×1  +  H/R 300′ ×2 = 600′  +  rake wall 30′ ×1  +  head wall — = 710′.
   •  BOUGHT: 710′ ÷ 16″ closures = 533 pcs × $1.99 = $1,060.67 (this is what the bid uses — making Zee closures by hand sucks).
   •  BY HAND alternate: 5″ SO → the sheet count on this row (8 sheets ≈ $640 material + $320 fab).</t>
        </is>
      </c>
    </row>
    <row r="47" ht="30" customHeight="1" s="102">
      <c r="A47" s="118" t="inlineStr">
        <is>
          <t>Counterflash</t>
        </is>
      </c>
      <c r="B47" s="133">
        <f>B39+B41</f>
        <v/>
      </c>
      <c r="C47" s="134" t="n">
        <v>6</v>
      </c>
      <c r="D47" s="135">
        <f>FLOOR(48/C47,1)*10</f>
        <v/>
      </c>
      <c r="E47" s="131">
        <f>B47/D47</f>
        <v/>
      </c>
      <c r="F47" s="132">
        <f>ROUNDUP(E47,0)</f>
        <v/>
      </c>
    </row>
    <row r="48" ht="25.5" customHeight="1" s="102">
      <c r="A48" s="137" t="inlineStr">
        <is>
          <t>Counterflash:  rake wall 30′  +  head wall —
   •  = 30′ ÷ 80 LF/sheet = 0.38 → 1 sheet.</t>
        </is>
      </c>
    </row>
    <row r="49" ht="30" customHeight="1" s="102">
      <c r="A49" s="118" t="inlineStr">
        <is>
          <t>Counterflash  (term bar)</t>
        </is>
      </c>
      <c r="B49" s="133">
        <f>B43</f>
        <v/>
      </c>
      <c r="C49" s="134" t="n">
        <v>6</v>
      </c>
      <c r="D49" s="135">
        <f>FLOOR(48/C49,1)*10</f>
        <v/>
      </c>
      <c r="E49" s="131">
        <f>B49/D49</f>
        <v/>
      </c>
      <c r="F49" s="132">
        <f>ROUNDUP(E49,0)</f>
        <v/>
      </c>
    </row>
    <row r="50" ht="25.5" customHeight="1" s="102">
      <c r="A50" s="137" t="inlineStr">
        <is>
          <t>Counterflash (term bar):  curb 20′  — like a term bar; fastens w/ WASHER-HEAD screws @6″ OC
   •  = 20′ ÷ 80 LF/sheet = 0.25 → 1 sheet.</t>
        </is>
      </c>
    </row>
    <row r="51" ht="19.5" customHeight="1" s="102"/>
    <row r="52" ht="24" customHeight="1" s="102">
      <c r="A52" s="115" t="inlineStr">
        <is>
          <t>5 · ACCESSORIES</t>
        </is>
      </c>
    </row>
    <row r="53" ht="15.75" customHeight="1" s="102">
      <c r="A53" s="117" t="inlineStr">
        <is>
          <t>Item</t>
        </is>
      </c>
      <c r="B53" s="117" t="inlineStr">
        <is>
          <t>Driver</t>
        </is>
      </c>
      <c r="C53" s="117" t="inlineStr">
        <is>
          <t>Raw</t>
        </is>
      </c>
      <c r="D53" s="117" t="inlineStr">
        <is>
          <t>Qty</t>
        </is>
      </c>
      <c r="E53" s="117" t="inlineStr">
        <is>
          <t>Pkg</t>
        </is>
      </c>
    </row>
    <row r="54" ht="24" customHeight="1" s="102">
      <c r="A54" s="105" t="inlineStr">
        <is>
          <t>Caulk (under Z + drip, +1 tube/sq cover)</t>
        </is>
      </c>
      <c r="B54" s="138" t="inlineStr">
        <is>
          <t>(Z + drip LF) ÷ 20  + 1/panel sq</t>
        </is>
      </c>
      <c r="C54" s="131">
        <f>(B45+B25)/20+F14</f>
        <v/>
      </c>
      <c r="D54" s="132">
        <f>ROUNDUP((B45+B25)/20+F14,0)</f>
        <v/>
      </c>
      <c r="E54" s="139" t="inlineStr">
        <is>
          <t>tube</t>
        </is>
      </c>
    </row>
    <row r="55" ht="15.75" customHeight="1" s="102">
      <c r="A55" s="116">
        <f>"Caulk: (Z "&amp;TEXT(B45,"#,##0")&amp;" + drip "&amp;TEXT(B25,"#,##0")&amp;")÷20 = "&amp;TEXT((B45+B25)/20,"0.00")&amp;"  +  1/sq cover × "&amp;TEXT(F14,"0.00")&amp;" sq = "&amp;TEXT(C54,"0.00")&amp;" → "&amp;D54&amp;" tubes. (Pricing on Material Order tab.)"</f>
        <v/>
      </c>
    </row>
    <row r="56" ht="24" customHeight="1" s="102">
      <c r="A56" s="105" t="inlineStr">
        <is>
          <t>Rivets (1 box / 10 PANEL sq)</t>
        </is>
      </c>
      <c r="B56" s="138" t="inlineStr">
        <is>
          <t>panel sq ÷ 10</t>
        </is>
      </c>
      <c r="C56" s="131">
        <f>F14/10</f>
        <v/>
      </c>
      <c r="D56" s="132">
        <f>ROUNDUP(F14/10,0)</f>
        <v/>
      </c>
      <c r="E56" s="139" t="inlineStr">
        <is>
          <t>box</t>
        </is>
      </c>
    </row>
    <row r="57" ht="15.75" customHeight="1" s="102">
      <c r="A57" s="116">
        <f>"Rivets: "&amp;TEXT(F14,"0.00")&amp;" panel sq ÷10 (metal, not I&amp;W)"&amp;" → "&amp;D56&amp;" box. (Pricing on Material Order tab.)"</f>
        <v/>
      </c>
    </row>
    <row r="58" ht="24" customHeight="1" s="102">
      <c r="A58" s="105" t="inlineStr">
        <is>
          <t>Zee-Lock clips 2-1/6″ (panel LF ÷ OC)</t>
        </is>
      </c>
      <c r="B58" s="138" t="inlineStr">
        <is>
          <t>clips ÷ 300/box</t>
        </is>
      </c>
      <c r="C58" s="131">
        <f>ROUNDUP(I8/2,0)/300</f>
        <v/>
      </c>
      <c r="D58" s="132">
        <f>ROUNDUP(ROUNDUP(I8/2,0)/300,0)</f>
        <v/>
      </c>
      <c r="E58" s="139" t="inlineStr">
        <is>
          <t>bx/300</t>
        </is>
      </c>
    </row>
    <row r="59" ht="15.75" customHeight="1" s="102">
      <c r="A59" s="116">
        <f>"Clips: "&amp;TEXT(I8,"#,##0")&amp;" LF ÷ 2′ OC = "&amp;ROUNDUP(I8/2,0)&amp;" clips ÷300/box → "&amp;D58&amp;" boxes. ALTERNATE: continuous Zee-Rib "&amp;TEXT(I8,"#,##0")&amp;"′ × $0.59 = "&amp;TEXT(I8*0.59,"$#,##0.00")&amp;" — Adam picks which rides. (Pricing on Material Order tab.)"</f>
        <v/>
      </c>
    </row>
    <row r="60" ht="24" customHeight="1" s="102">
      <c r="A60" s="105" t="inlineStr">
        <is>
          <t>Vinyl weatherstrip — NONE on double-lock</t>
        </is>
      </c>
      <c r="B60" s="138" t="inlineStr">
        <is>
          <t>panel LF ÷ 1400</t>
        </is>
      </c>
      <c r="C60" s="131" t="n">
        <v>0</v>
      </c>
      <c r="D60" s="132" t="n">
        <v>0</v>
      </c>
      <c r="E60" s="139" t="inlineStr">
        <is>
          <t>roll</t>
        </is>
      </c>
    </row>
    <row r="61" ht="15.75" customHeight="1" s="102">
      <c r="A61" s="116" t="inlineStr">
        <is>
          <t>Vinyl: the double-lock seam takes NO vinyl bead (Berridge SP-21 datasheet — single-lock only). Row kept as the checklist. CONFIRM w/ Adam.</t>
        </is>
      </c>
    </row>
    <row r="62" ht="24" customHeight="1" s="102">
      <c r="A62" s="105" t="inlineStr">
        <is>
          <t>Screws (per-piece OC)</t>
        </is>
      </c>
      <c r="B62" s="138" t="inlineStr">
        <is>
          <t>clips×2 +drip×2 +cleats×2 +walls×1 +curb×2</t>
        </is>
      </c>
      <c r="C62" s="131">
        <f>((ROUNDUP(I8/2,0)*2)+(B25*2)+(B31*2)+(B35*2)+(B39*1)+(B41*1)+(B43*2))/250</f>
        <v/>
      </c>
      <c r="D62" s="132">
        <f>ROUNDUP(((ROUNDUP(I8/2,0)*2)+(B25*2)+(B31*2)+(B35*2)+(B39*1)+(B41*1)+(B43*2))/250,0)</f>
        <v/>
      </c>
      <c r="E62" s="139" t="inlineStr">
        <is>
          <t>bag</t>
        </is>
      </c>
    </row>
    <row r="63" ht="15.75" customHeight="1" s="102">
      <c r="A63" s="116">
        <f>"Screws: clips "&amp;ROUNDUP(I8/2,0)&amp;"×2 + drip "&amp;B25&amp;"×2 (6″OC) + rake edge cleat "&amp;B31&amp;"×2 (6″OC) + valley cleat "&amp;B35&amp;"×2 (6″OC) + rake wall "&amp;B39&amp;"×1 (1′OC) + head wall —×1 + curb L "&amp;B43&amp;"×2 (6″OC) = "&amp;((ROUNDUP(I8/2,0)*2)+(B25*2)+(B31*2)+(B35*2)+(B39*1)+(B41*1)+(B43*2))&amp;" ÷250/bag → "&amp;D62&amp;" bags. NO fastener: rake-edge cap, H/R, valley, Z, reg. counterflash."</f>
        <v/>
      </c>
    </row>
    <row r="64" ht="19.5" customHeight="1" s="102">
      <c r="A64" s="105" t="inlineStr">
        <is>
          <t>Washer-head screws (term bar CF)</t>
        </is>
      </c>
      <c r="B64" s="138" t="inlineStr">
        <is>
          <t>CF (term bar) ×2 @6″ OC</t>
        </is>
      </c>
      <c r="C64" s="131">
        <f>(B49*2)/250</f>
        <v/>
      </c>
      <c r="D64" s="132">
        <f>ROUNDUP((B49*2)/250,0)</f>
        <v/>
      </c>
      <c r="E64" s="139" t="inlineStr">
        <is>
          <t>bag</t>
        </is>
      </c>
    </row>
    <row r="65" ht="15.75" customHeight="1" s="102">
      <c r="A65" s="116">
        <f>"Washer-head screws: counterflash (term bar) "&amp;B49&amp;"′ ×2 (6″ OC) = "&amp;(B49*2)&amp;" ÷250/bag → "&amp;D64&amp;" bag. Different fastener — washer head, not the regular screw."</f>
        <v/>
      </c>
    </row>
    <row r="66" ht="15.75" customHeight="1" s="102"/>
    <row r="67" ht="15.75" customHeight="1" s="102">
      <c r="A67" s="115" t="inlineStr">
        <is>
          <t>6 · HIGH-TEMP ICE &amp; WATER SHIELD</t>
        </is>
      </c>
    </row>
    <row r="68" ht="15.75" customHeight="1" s="102">
      <c r="A68" s="118" t="inlineStr">
        <is>
          <t>Field area (sf)</t>
        </is>
      </c>
      <c r="F68" s="130" t="n">
        <v>0</v>
      </c>
      <c r="G68" s="140" t="inlineStr">
        <is>
          <t>Pitch</t>
        </is>
      </c>
      <c r="H68" s="140" t="inlineStr">
        <is>
          <t>Factor</t>
        </is>
      </c>
    </row>
    <row r="69" ht="15.75" customHeight="1" s="102">
      <c r="A69" s="118" t="inlineStr">
        <is>
          <t>Pitch (rise / 12) — ASKED per job</t>
        </is>
      </c>
      <c r="F69" s="134" t="n">
        <v>6</v>
      </c>
      <c r="G69" s="141" t="n">
        <v>1</v>
      </c>
      <c r="H69" s="142" t="n">
        <v>1.0035</v>
      </c>
    </row>
    <row r="70" ht="15.75" customHeight="1" s="102">
      <c r="A70" s="118" t="inlineStr">
        <is>
          <t>Pitch factor (from table →)</t>
        </is>
      </c>
      <c r="F70" s="143">
        <f>INDEX($H$69:$H$80,MATCH(F69,$G$69:$G$80,0))</f>
        <v/>
      </c>
      <c r="G70" s="141" t="n">
        <v>2</v>
      </c>
      <c r="H70" s="142" t="n">
        <v>1.0138</v>
      </c>
    </row>
    <row r="71" ht="15.75" customHeight="1" s="102">
      <c r="A71" s="118" t="inlineStr">
        <is>
          <t>Waste factor (×)</t>
        </is>
      </c>
      <c r="F71" s="134" t="n">
        <v>1.15</v>
      </c>
      <c r="G71" s="141" t="n">
        <v>3</v>
      </c>
      <c r="H71" s="142" t="n">
        <v>1.0308</v>
      </c>
    </row>
    <row r="72" ht="15.75" customHeight="1" s="102">
      <c r="A72" s="118" t="inlineStr">
        <is>
          <t>Material qty (sf) = field × pitch × waste</t>
        </is>
      </c>
      <c r="F72" s="144">
        <f>F68*F70*F71</f>
        <v/>
      </c>
      <c r="G72" s="141" t="n">
        <v>4</v>
      </c>
      <c r="H72" s="142" t="n">
        <v>1.0541</v>
      </c>
    </row>
    <row r="73" ht="43.5" customHeight="1" s="102">
      <c r="A73" s="118" t="inlineStr">
        <is>
          <t>Coverage (sq/roll)</t>
        </is>
      </c>
      <c r="F73" s="134" t="n">
        <v>1.8</v>
      </c>
      <c r="G73" s="141" t="n">
        <v>5</v>
      </c>
      <c r="H73" s="142" t="n">
        <v>1.0833</v>
      </c>
    </row>
    <row r="74" ht="15.75" customHeight="1" s="102">
      <c r="A74" s="118" t="inlineStr">
        <is>
          <t>Rolls = (qty sf ÷ 100) ÷ 1.8</t>
        </is>
      </c>
      <c r="C74" s="131">
        <f>(F72/100)/F73</f>
        <v/>
      </c>
      <c r="D74" s="132">
        <f>ROUNDUP(C74,0)</f>
        <v/>
      </c>
      <c r="E74" s="139" t="inlineStr">
        <is>
          <t>roll</t>
        </is>
      </c>
      <c r="G74" s="141" t="n">
        <v>6</v>
      </c>
      <c r="H74" s="142" t="n">
        <v>1.118</v>
      </c>
    </row>
    <row r="75" ht="15.75" customHeight="1" s="102">
      <c r="A75" s="118" t="inlineStr">
        <is>
          <t>Labor sq = field × pitch ÷ 100  (installed area)</t>
        </is>
      </c>
      <c r="C75" s="131">
        <f>F68*F70/100</f>
        <v/>
      </c>
      <c r="D75" s="132">
        <f>ROUNDUP(C75,0)</f>
        <v/>
      </c>
      <c r="E75" s="139" t="inlineStr">
        <is>
          <t>sq</t>
        </is>
      </c>
      <c r="G75" s="141" t="n">
        <v>7</v>
      </c>
      <c r="H75" s="142" t="n">
        <v>1.1577</v>
      </c>
    </row>
    <row r="76" ht="15.75" customHeight="1" s="102">
      <c r="A76" s="118" t="inlineStr">
        <is>
          <t>Plastic cap nails (1 box / 40 sq; &lt;1.25 rounds DOWN, min 1)</t>
        </is>
      </c>
      <c r="C76" s="131">
        <f>(F72/100)/40</f>
        <v/>
      </c>
      <c r="D76" s="132">
        <f>IF(C76&lt;1.25,MAX(1,ROUNDDOWN(C76,0)),ROUNDUP(C76,0))</f>
        <v/>
      </c>
      <c r="E76" s="139" t="inlineStr">
        <is>
          <t>box</t>
        </is>
      </c>
      <c r="G76" s="141" t="n">
        <v>8</v>
      </c>
      <c r="H76" s="142" t="n">
        <v>1.2019</v>
      </c>
    </row>
    <row r="77" ht="30" customHeight="1" s="102">
      <c r="A77" s="145">
        <f>"I&amp;W: "&amp;TEXT(F68,"#,##0")&amp;" sf × pitch "&amp;F69&amp;"/12 ("&amp;TEXT(F70,"0.0000")&amp;") × waste "&amp;F71&amp;" = "&amp;TEXT(F72,"#,##0")&amp;" sf ÷100÷1.8 = "&amp;TEXT((F72/100)/F73,"0.00")&amp;" → "&amp;D74&amp;" rolls.  Labor "&amp;D75&amp;" sq (installed, no waste). Caps "&amp;TEXT(C76,"0.00")&amp;" &lt;1.25 → "&amp;D76&amp;" box (rounds down, never below 1 — tack-down only). (All pricing on other tabs.)"</f>
        <v/>
      </c>
      <c r="G77" s="141" t="n">
        <v>9</v>
      </c>
      <c r="H77" s="142" t="n">
        <v>1.25</v>
      </c>
    </row>
    <row r="78" ht="15.75" customHeight="1" s="102">
      <c r="G78" s="141" t="n">
        <v>10</v>
      </c>
      <c r="H78" s="142" t="n">
        <v>1.3017</v>
      </c>
    </row>
    <row r="79" ht="15.75" customHeight="1" s="102">
      <c r="G79" s="141" t="n">
        <v>11</v>
      </c>
      <c r="H79" s="142" t="n">
        <v>1.3566</v>
      </c>
    </row>
    <row r="80" ht="15.75" customHeight="1" s="102">
      <c r="G80" s="141" t="n">
        <v>12</v>
      </c>
      <c r="H80" s="142" t="n">
        <v>1.4142</v>
      </c>
    </row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33">
    <mergeCell ref="A65:I65"/>
    <mergeCell ref="A46:I46"/>
    <mergeCell ref="A55:I55"/>
    <mergeCell ref="A50:I50"/>
    <mergeCell ref="A26:I26"/>
    <mergeCell ref="A57:I57"/>
    <mergeCell ref="A2:I2"/>
    <mergeCell ref="A5:I5"/>
    <mergeCell ref="A42:I42"/>
    <mergeCell ref="A32:I32"/>
    <mergeCell ref="A17:I17"/>
    <mergeCell ref="A23:I23"/>
    <mergeCell ref="A22:I22"/>
    <mergeCell ref="A4:I4"/>
    <mergeCell ref="A20:I20"/>
    <mergeCell ref="A38:I38"/>
    <mergeCell ref="A52:I52"/>
    <mergeCell ref="A63:I63"/>
    <mergeCell ref="A28:I28"/>
    <mergeCell ref="A44:I44"/>
    <mergeCell ref="A67:F67"/>
    <mergeCell ref="A40:I40"/>
    <mergeCell ref="A9:I9"/>
    <mergeCell ref="A34:I34"/>
    <mergeCell ref="A77:F77"/>
    <mergeCell ref="A48:I48"/>
    <mergeCell ref="A30:I30"/>
    <mergeCell ref="A15:I15"/>
    <mergeCell ref="A59:I59"/>
    <mergeCell ref="A11:I11"/>
    <mergeCell ref="A36:I36"/>
    <mergeCell ref="A1:I1"/>
    <mergeCell ref="A61:I61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E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6" customWidth="1" style="101" min="1" max="1"/>
    <col width="10" customWidth="1" style="101" min="2" max="3"/>
    <col width="12" customWidth="1" style="101" min="4" max="4"/>
    <col width="14" customWidth="1" style="101" min="5" max="5"/>
    <col width="8.710000000000001" customWidth="1" style="101" min="6" max="26"/>
  </cols>
  <sheetData>
    <row r="1" ht="25.5" customHeight="1" s="102">
      <c r="A1" s="146" t="inlineStr">
        <is>
          <t>MATERIAL ORDER  —  BERRIDGE ZEE-LOCK (DOUBLE-LOCK)</t>
        </is>
      </c>
    </row>
    <row r="2" ht="15.75" customHeight="1" s="102">
      <c r="A2" s="147" t="inlineStr">
        <is>
          <t>Quantities pull LIVE from the bid. Send the PURCHASED block to your supplier; the fab line is in-house.</t>
        </is>
      </c>
    </row>
    <row r="3" ht="15" customHeight="1" s="102"/>
    <row r="4" ht="15" customHeight="1" s="102">
      <c r="A4" s="148" t="inlineStr">
        <is>
          <t>PURCHASED MATERIALS (send to supplier)</t>
        </is>
      </c>
    </row>
    <row r="5" ht="15" customHeight="1" s="102">
      <c r="A5" s="149" t="inlineStr">
        <is>
          <t>Item</t>
        </is>
      </c>
      <c r="B5" s="149" t="inlineStr">
        <is>
          <t>Qty</t>
        </is>
      </c>
      <c r="C5" s="149" t="inlineStr">
        <is>
          <t>Unit</t>
        </is>
      </c>
      <c r="D5" s="149" t="inlineStr">
        <is>
          <t>Unit $</t>
        </is>
      </c>
      <c r="E5" s="149" t="inlineStr">
        <is>
          <t>Line Total</t>
        </is>
      </c>
    </row>
    <row r="6" ht="15" customHeight="1" s="102">
      <c r="A6" s="105" t="inlineStr">
        <is>
          <t>Zee-Lock coil (500′)</t>
        </is>
      </c>
      <c r="B6" s="135">
        <f>'Bid (All-In Priced)'!E19</f>
        <v/>
      </c>
      <c r="C6" s="139" t="inlineStr">
        <is>
          <t>coil</t>
        </is>
      </c>
      <c r="D6" s="150">
        <f>500*(20.875/12)*1.82</f>
        <v/>
      </c>
      <c r="E6" s="108">
        <f>B6*D6</f>
        <v/>
      </c>
    </row>
    <row r="7" ht="15" customHeight="1" s="102">
      <c r="A7" s="105" t="inlineStr">
        <is>
          <t>Flat sheet — D-style drip edge</t>
        </is>
      </c>
      <c r="B7" s="135">
        <f>'Bid (All-In Priced)'!F25</f>
        <v/>
      </c>
      <c r="C7" s="139" t="inlineStr">
        <is>
          <t>sheet</t>
        </is>
      </c>
      <c r="D7" s="151">
        <f>IF(N(B7)=0,"-",80)</f>
        <v/>
      </c>
      <c r="E7" s="108">
        <f>IF(N(B7)=0,"-",B7*D7)</f>
        <v/>
      </c>
    </row>
    <row r="8" ht="15" customHeight="1" s="102">
      <c r="A8" s="105" t="inlineStr">
        <is>
          <t>Galv sheet — Drip edge cleat (PENDING)</t>
        </is>
      </c>
      <c r="B8" s="135">
        <f>'Bid (All-In Priced)'!F27</f>
        <v/>
      </c>
      <c r="C8" s="139" t="inlineStr">
        <is>
          <t>sheet</t>
        </is>
      </c>
      <c r="D8" s="151">
        <f>IF(N(B8)=0,"-",60)</f>
        <v/>
      </c>
      <c r="E8" s="108">
        <f>IF(N(B8)=0,"-",B8*D8)</f>
        <v/>
      </c>
    </row>
    <row r="9" ht="15" customHeight="1" s="102">
      <c r="A9" s="105" t="inlineStr">
        <is>
          <t>Flat sheet — Rake-edge cap</t>
        </is>
      </c>
      <c r="B9" s="135">
        <f>'Bid (All-In Priced)'!F29</f>
        <v/>
      </c>
      <c r="C9" s="139" t="inlineStr">
        <is>
          <t>sheet</t>
        </is>
      </c>
      <c r="D9" s="151">
        <f>IF(N(B9)=0,"-",80)</f>
        <v/>
      </c>
      <c r="E9" s="108">
        <f>IF(N(B9)=0,"-",B9*D9)</f>
        <v/>
      </c>
    </row>
    <row r="10" ht="15" customHeight="1" s="102">
      <c r="A10" s="105" t="inlineStr">
        <is>
          <t>Galv sheet — Rake edge cleat</t>
        </is>
      </c>
      <c r="B10" s="135">
        <f>'Bid (All-In Priced)'!F31</f>
        <v/>
      </c>
      <c r="C10" s="139" t="inlineStr">
        <is>
          <t>sheet</t>
        </is>
      </c>
      <c r="D10" s="151">
        <f>IF(N(B10)=0,"-",60)</f>
        <v/>
      </c>
      <c r="E10" s="108">
        <f>IF(N(B10)=0,"-",B10*D10)</f>
        <v/>
      </c>
    </row>
    <row r="11" ht="15" customHeight="1" s="102">
      <c r="A11" s="105" t="inlineStr">
        <is>
          <t>Flat sheet — (W) Valley</t>
        </is>
      </c>
      <c r="B11" s="135">
        <f>'Bid (All-In Priced)'!F33</f>
        <v/>
      </c>
      <c r="C11" s="139" t="inlineStr">
        <is>
          <t>sheet</t>
        </is>
      </c>
      <c r="D11" s="151">
        <f>IF(N(B11)=0,"-",80)</f>
        <v/>
      </c>
      <c r="E11" s="108">
        <f>IF(N(B11)=0,"-",B11*D11)</f>
        <v/>
      </c>
    </row>
    <row r="12" ht="15" customHeight="1" s="102">
      <c r="A12" s="105" t="inlineStr">
        <is>
          <t>Galv sheet — (W) Valley cleat</t>
        </is>
      </c>
      <c r="B12" s="135">
        <f>'Bid (All-In Priced)'!F35</f>
        <v/>
      </c>
      <c r="C12" s="139" t="inlineStr">
        <is>
          <t>sheet</t>
        </is>
      </c>
      <c r="D12" s="151">
        <f>IF(N(B12)=0,"-",60)</f>
        <v/>
      </c>
      <c r="E12" s="108">
        <f>IF(N(B12)=0,"-",B12*D12)</f>
        <v/>
      </c>
    </row>
    <row r="13" ht="15" customHeight="1" s="102">
      <c r="A13" s="105" t="inlineStr">
        <is>
          <t>Flat sheet — Hip/Ridge cap</t>
        </is>
      </c>
      <c r="B13" s="135">
        <f>'Bid (All-In Priced)'!F37</f>
        <v/>
      </c>
      <c r="C13" s="139" t="inlineStr">
        <is>
          <t>sheet</t>
        </is>
      </c>
      <c r="D13" s="151">
        <f>IF(N(B13)=0,"-",80)</f>
        <v/>
      </c>
      <c r="E13" s="108">
        <f>IF(N(B13)=0,"-",B13*D13)</f>
        <v/>
      </c>
    </row>
    <row r="14" ht="15" customHeight="1" s="102">
      <c r="A14" s="105" t="inlineStr">
        <is>
          <t>Flat sheet — Rake wall</t>
        </is>
      </c>
      <c r="B14" s="135">
        <f>'Bid (All-In Priced)'!F39</f>
        <v/>
      </c>
      <c r="C14" s="139" t="inlineStr">
        <is>
          <t>sheet</t>
        </is>
      </c>
      <c r="D14" s="151">
        <f>IF(N(B14)=0,"-",80)</f>
        <v/>
      </c>
      <c r="E14" s="108">
        <f>IF(N(B14)=0,"-",B14*D14)</f>
        <v/>
      </c>
    </row>
    <row r="15" ht="15" customHeight="1" s="102">
      <c r="A15" s="105" t="inlineStr">
        <is>
          <t>Flat sheet — Head wall (sample)</t>
        </is>
      </c>
      <c r="B15" s="135">
        <f>'Bid (All-In Priced)'!F41</f>
        <v/>
      </c>
      <c r="C15" s="139" t="inlineStr">
        <is>
          <t>sheet</t>
        </is>
      </c>
      <c r="D15" s="151">
        <f>IF(N(B15)=0,"-",80)</f>
        <v/>
      </c>
      <c r="E15" s="108">
        <f>IF(N(B15)=0,"-",B15*D15)</f>
        <v/>
      </c>
    </row>
    <row r="16" ht="15" customHeight="1" s="102">
      <c r="A16" s="105" t="inlineStr">
        <is>
          <t>Flat sheet — Curb L flash</t>
        </is>
      </c>
      <c r="B16" s="135">
        <f>'Bid (All-In Priced)'!F43</f>
        <v/>
      </c>
      <c r="C16" s="139" t="inlineStr">
        <is>
          <t>sheet</t>
        </is>
      </c>
      <c r="D16" s="151">
        <f>IF(N(B16)=0,"-",80)</f>
        <v/>
      </c>
      <c r="E16" s="108">
        <f>IF(N(B16)=0,"-",B16*D16)</f>
        <v/>
      </c>
    </row>
    <row r="17" ht="15" customHeight="1" s="102">
      <c r="A17" s="105" t="inlineStr">
        <is>
          <t>Berridge Die-Formed Zee-Closure (710′ ÷ 16″)</t>
        </is>
      </c>
      <c r="B17" s="135">
        <f>ROUNDUP('Bid (All-In Priced)'!B45/(16/12),0)</f>
        <v/>
      </c>
      <c r="C17" s="139" t="inlineStr">
        <is>
          <t>pc</t>
        </is>
      </c>
      <c r="D17" s="151" t="n">
        <v>1.99</v>
      </c>
      <c r="E17" s="108">
        <f>B17*D17</f>
        <v/>
      </c>
    </row>
    <row r="18" ht="15" customHeight="1" s="102">
      <c r="A18" s="105" t="inlineStr">
        <is>
          <t>Flat sheet — Counterflash</t>
        </is>
      </c>
      <c r="B18" s="135">
        <f>'Bid (All-In Priced)'!F47</f>
        <v/>
      </c>
      <c r="C18" s="139" t="inlineStr">
        <is>
          <t>sheet</t>
        </is>
      </c>
      <c r="D18" s="151">
        <f>IF(N(B18)=0,"-",80)</f>
        <v/>
      </c>
      <c r="E18" s="108">
        <f>IF(N(B18)=0,"-",B18*D18)</f>
        <v/>
      </c>
    </row>
    <row r="19" ht="15" customHeight="1" s="102">
      <c r="A19" s="105" t="inlineStr">
        <is>
          <t>Flat sheet — Counterflash (term bar)</t>
        </is>
      </c>
      <c r="B19" s="135">
        <f>'Bid (All-In Priced)'!F49</f>
        <v/>
      </c>
      <c r="C19" s="139" t="inlineStr">
        <is>
          <t>sheet</t>
        </is>
      </c>
      <c r="D19" s="151">
        <f>IF(N(B19)=0,"-",80)</f>
        <v/>
      </c>
      <c r="E19" s="108">
        <f>IF(N(B19)=0,"-",B19*D19)</f>
        <v/>
      </c>
    </row>
    <row r="20" ht="15" customHeight="1" s="102">
      <c r="A20" s="105" t="inlineStr">
        <is>
          <t>Caulk</t>
        </is>
      </c>
      <c r="B20" s="135">
        <f>'Bid (All-In Priced)'!D55</f>
        <v/>
      </c>
      <c r="C20" s="139" t="inlineStr">
        <is>
          <t>tube</t>
        </is>
      </c>
      <c r="D20" s="151">
        <f>IF(N(B20)=0,"-",10)</f>
        <v/>
      </c>
      <c r="E20" s="108">
        <f>IF(N(B20)=0,"-",B20*D20)</f>
        <v/>
      </c>
    </row>
    <row r="21" ht="15.75" customHeight="1" s="102">
      <c r="A21" s="105" t="inlineStr">
        <is>
          <t>Rivets</t>
        </is>
      </c>
      <c r="B21" s="135">
        <f>'Bid (All-In Priced)'!D57</f>
        <v/>
      </c>
      <c r="C21" s="139" t="inlineStr">
        <is>
          <t>box</t>
        </is>
      </c>
      <c r="D21" s="151">
        <f>IF(N(B21)=0,"-",50)</f>
        <v/>
      </c>
      <c r="E21" s="108">
        <f>IF(N(B21)=0,"-",B21*D21)</f>
        <v/>
      </c>
    </row>
    <row r="22" ht="15.75" customHeight="1" s="102">
      <c r="A22" s="105" t="inlineStr">
        <is>
          <t>Berridge Zee-Lock Clip 2-1/6" (300/box)</t>
        </is>
      </c>
      <c r="B22" s="135">
        <f>'Bid (All-In Priced)'!D59</f>
        <v/>
      </c>
      <c r="C22" s="139" t="inlineStr">
        <is>
          <t>box</t>
        </is>
      </c>
      <c r="D22" s="151">
        <f>IF(N(B22)=0,"-",174)</f>
        <v/>
      </c>
      <c r="E22" s="108">
        <f>IF(N(B22)=0,"-",B22*D22)</f>
        <v/>
      </c>
    </row>
    <row r="23" ht="15.75" customHeight="1" s="102">
      <c r="A23" s="105" t="inlineStr">
        <is>
          <t>Vinyl — NONE on double-lock</t>
        </is>
      </c>
      <c r="B23" s="135">
        <f>'Bid (All-In Priced)'!D61</f>
        <v/>
      </c>
      <c r="C23" s="139" t="inlineStr">
        <is>
          <t>roll</t>
        </is>
      </c>
      <c r="D23" s="151">
        <f>IF(N(B23)=0,"-",392)</f>
        <v/>
      </c>
      <c r="E23" s="108">
        <f>IF(N(B23)=0,"-",B23*D23)</f>
        <v/>
      </c>
    </row>
    <row r="24" ht="15.75" customHeight="1" s="102">
      <c r="A24" s="105" t="inlineStr">
        <is>
          <t>Screws (250/bag)</t>
        </is>
      </c>
      <c r="B24" s="135">
        <f>'Bid (All-In Priced)'!D63</f>
        <v/>
      </c>
      <c r="C24" s="139" t="inlineStr">
        <is>
          <t>bag</t>
        </is>
      </c>
      <c r="D24" s="151">
        <f>IF(N(B24)=0,"-",20)</f>
        <v/>
      </c>
      <c r="E24" s="108">
        <f>IF(N(B24)=0,"-",B24*D24)</f>
        <v/>
      </c>
    </row>
    <row r="25" ht="15.75" customHeight="1" s="102">
      <c r="A25" s="105" t="inlineStr">
        <is>
          <t>Washer-head screws (250/bag)</t>
        </is>
      </c>
      <c r="B25" s="135">
        <f>'Bid (All-In Priced)'!D65</f>
        <v/>
      </c>
      <c r="C25" s="139" t="inlineStr">
        <is>
          <t>bag</t>
        </is>
      </c>
      <c r="D25" s="151">
        <f>IF(N(B25)=0,"-",20)</f>
        <v/>
      </c>
      <c r="E25" s="108">
        <f>IF(N(B25)=0,"-",B25*D25)</f>
        <v/>
      </c>
    </row>
    <row r="26" ht="15.75" customHeight="1" s="102">
      <c r="A26" s="105" t="inlineStr">
        <is>
          <t>Hi-Temp Ice &amp; Water</t>
        </is>
      </c>
      <c r="B26" s="135">
        <f>'Bid (All-In Priced)'!D76</f>
        <v/>
      </c>
      <c r="C26" s="139" t="inlineStr">
        <is>
          <t>roll</t>
        </is>
      </c>
      <c r="D26" s="151">
        <f>IF(N(B26)=0,"-",120)</f>
        <v/>
      </c>
      <c r="E26" s="108">
        <f>IF(N(B26)=0,"-",B26*D26)</f>
        <v/>
      </c>
    </row>
    <row r="27" ht="15.75" customHeight="1" s="102">
      <c r="A27" s="105" t="inlineStr">
        <is>
          <t>Plastic cap nails</t>
        </is>
      </c>
      <c r="B27" s="135">
        <f>'Bid (All-In Priced)'!D78</f>
        <v/>
      </c>
      <c r="C27" s="139" t="inlineStr">
        <is>
          <t>box</t>
        </is>
      </c>
      <c r="D27" s="151">
        <f>IF(N(B27)=0,"-",25)</f>
        <v/>
      </c>
      <c r="E27" s="108">
        <f>IF(N(B27)=0,"-",B27*D27)</f>
        <v/>
      </c>
    </row>
    <row r="28" ht="15.75" customHeight="1" s="102">
      <c r="A28" s="105" t="inlineStr">
        <is>
          <t>Delivery — standing seam (×2 trips)</t>
        </is>
      </c>
      <c r="B28" s="135" t="n">
        <v>2</v>
      </c>
      <c r="C28" s="139" t="inlineStr">
        <is>
          <t>trip</t>
        </is>
      </c>
      <c r="D28" s="151" t="n">
        <v>200</v>
      </c>
      <c r="E28" s="108">
        <f>B28*D28</f>
        <v/>
      </c>
    </row>
    <row r="29" ht="15.75" customHeight="1" s="102">
      <c r="A29" s="105" t="inlineStr">
        <is>
          <t>SP-21 panel machine rental (thru supply house)</t>
        </is>
      </c>
      <c r="B29" s="135" t="n">
        <v>2</v>
      </c>
      <c r="C29" s="139" t="inlineStr">
        <is>
          <t>week</t>
        </is>
      </c>
      <c r="D29" s="151" t="n">
        <v>1400</v>
      </c>
      <c r="E29" s="108">
        <f>B29*D29</f>
        <v/>
      </c>
    </row>
    <row r="30" ht="15.75" customHeight="1" s="102">
      <c r="A30" s="152" t="inlineStr">
        <is>
          <t>Purchased subtotal</t>
        </is>
      </c>
      <c r="B30" s="153" t="n"/>
      <c r="C30" s="153" t="n"/>
      <c r="D30" s="153" t="n"/>
      <c r="E30" s="154">
        <f>SUM(E6:E29)</f>
        <v/>
      </c>
    </row>
    <row r="31" ht="15.75" customHeight="1" s="102">
      <c r="E31" s="155" t="n"/>
    </row>
    <row r="32" ht="15.75" customHeight="1" s="102">
      <c r="A32" s="148" t="inlineStr">
        <is>
          <t>IN-HOUSE (not ordered — a material-side cost in the bid)</t>
        </is>
      </c>
    </row>
    <row r="33" ht="15.75" customHeight="1" s="102">
      <c r="A33" s="149" t="inlineStr">
        <is>
          <t>Item</t>
        </is>
      </c>
      <c r="B33" s="149" t="inlineStr">
        <is>
          <t>Qty</t>
        </is>
      </c>
      <c r="C33" s="149" t="inlineStr">
        <is>
          <t>Unit</t>
        </is>
      </c>
      <c r="D33" s="149" t="inlineStr">
        <is>
          <t>Unit $</t>
        </is>
      </c>
      <c r="E33" s="156" t="inlineStr">
        <is>
          <t>Line Total</t>
        </is>
      </c>
    </row>
    <row r="34" ht="15.75" customHeight="1" s="102">
      <c r="A34" s="105" t="inlineStr">
        <is>
          <t>Panel roll-form fabrication</t>
        </is>
      </c>
      <c r="B34" s="135">
        <f>'Bid (All-In Priced)'!F14</f>
        <v/>
      </c>
      <c r="C34" s="139" t="inlineStr">
        <is>
          <t>sq</t>
        </is>
      </c>
      <c r="D34" s="151" t="n">
        <v>40</v>
      </c>
      <c r="E34" s="108">
        <f>B34*D34</f>
        <v/>
      </c>
    </row>
    <row r="35" ht="15.75" customHeight="1" s="102">
      <c r="E35" s="155" t="n"/>
    </row>
    <row r="36" ht="15.75" customHeight="1" s="102">
      <c r="A36" s="152" t="inlineStr">
        <is>
          <t>MATERIAL SUBTOTAL (purchased + fab)</t>
        </is>
      </c>
      <c r="B36" s="153" t="n"/>
      <c r="C36" s="153" t="n"/>
      <c r="D36" s="153" t="n"/>
      <c r="E36" s="154">
        <f>E30+E34</f>
        <v/>
      </c>
    </row>
    <row r="37" ht="15.75" customHeight="1" s="102">
      <c r="A37" s="105" t="inlineStr">
        <is>
          <t>Sales tax (8.25%)</t>
        </is>
      </c>
      <c r="B37" s="153" t="n"/>
      <c r="C37" s="153" t="n"/>
      <c r="D37" s="153" t="n"/>
      <c r="E37" s="108">
        <f>E36*0.0825</f>
        <v/>
      </c>
    </row>
    <row r="38" ht="15.75" customHeight="1" s="102">
      <c r="A38" s="157" t="inlineStr">
        <is>
          <t>MATERIAL TOTAL (w/ tax)</t>
        </is>
      </c>
      <c r="B38" s="158" t="n"/>
      <c r="C38" s="158" t="n"/>
      <c r="D38" s="158" t="n"/>
      <c r="E38" s="159">
        <f>E36+E37</f>
        <v/>
      </c>
    </row>
    <row r="39" ht="15.75" customHeight="1" s="102">
      <c r="E39" s="155" t="n"/>
    </row>
    <row r="40" ht="15.75" customHeight="1" s="102">
      <c r="A40" s="113" t="inlineStr">
        <is>
          <t>Blue = editable unit price. Qty is live from the bid. ‘Material total (w/tax)’ feeds both bid tabs.</t>
        </is>
      </c>
    </row>
    <row r="41" ht="15.75" customHeight="1" s="102"/>
    <row r="42" ht="15.75" customHeight="1" s="102"/>
    <row r="43" ht="15.75" customHeight="1" s="102"/>
    <row r="44" ht="15.75" customHeight="1" s="102"/>
    <row r="45" ht="15.75" customHeight="1" s="102"/>
    <row r="46" ht="15.75" customHeight="1" s="102"/>
    <row r="47" ht="15.75" customHeight="1" s="102"/>
    <row r="48" ht="15.75" customHeight="1" s="102"/>
    <row r="49" ht="15.75" customHeight="1" s="102"/>
    <row r="50" ht="15.75" customHeight="1" s="102"/>
    <row r="51" ht="15.75" customHeight="1" s="102"/>
    <row r="52" ht="15.75" customHeight="1" s="102"/>
    <row r="53" ht="15.75" customHeight="1" s="102"/>
    <row r="54" ht="15.75" customHeight="1" s="102"/>
    <row r="55" ht="15.75" customHeight="1" s="102"/>
    <row r="56" ht="15.75" customHeight="1" s="102"/>
    <row r="57" ht="15.75" customHeight="1" s="102"/>
    <row r="58" ht="15.75" customHeight="1" s="102"/>
    <row r="59" ht="15.75" customHeight="1" s="102"/>
    <row r="60" ht="15.75" customHeight="1" s="102"/>
    <row r="61" ht="15.75" customHeight="1" s="102"/>
    <row r="62" ht="15.75" customHeight="1" s="102"/>
    <row r="63" ht="15.75" customHeight="1" s="102"/>
    <row r="64" ht="15.75" customHeight="1" s="102"/>
    <row r="65" ht="15.75" customHeight="1" s="102"/>
    <row r="66" ht="15.75" customHeight="1" s="102"/>
    <row r="67" ht="15.75" customHeight="1" s="102"/>
    <row r="68" ht="15.75" customHeight="1" s="102"/>
    <row r="69" ht="15.75" customHeight="1" s="102"/>
    <row r="70" ht="15.75" customHeight="1" s="102"/>
    <row r="71" ht="15.75" customHeight="1" s="102"/>
    <row r="72" ht="15.75" customHeight="1" s="102"/>
    <row r="73" ht="15.75" customHeight="1" s="102"/>
    <row r="74" ht="15.75" customHeight="1" s="102"/>
    <row r="75" ht="15.75" customHeight="1" s="102"/>
    <row r="76" ht="15.75" customHeight="1" s="102"/>
    <row r="77" ht="15.75" customHeight="1" s="102"/>
    <row r="78" ht="15.75" customHeight="1" s="102"/>
    <row r="79" ht="15.75" customHeight="1" s="102"/>
    <row r="80" ht="15.75" customHeight="1" s="102"/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5">
    <mergeCell ref="A4:E4"/>
    <mergeCell ref="A2:E2"/>
    <mergeCell ref="A1:E1"/>
    <mergeCell ref="A32:E32"/>
    <mergeCell ref="A40:E40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E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40" customWidth="1" style="101" min="1" max="1"/>
    <col width="11" customWidth="1" style="101" min="2" max="2"/>
    <col width="9" customWidth="1" style="101" min="3" max="3"/>
    <col width="11" customWidth="1" style="101" min="4" max="4"/>
    <col width="14" customWidth="1" style="101" min="5" max="5"/>
    <col width="8.710000000000001" customWidth="1" style="101" min="6" max="26"/>
  </cols>
  <sheetData>
    <row r="1" ht="25.5" customHeight="1" s="102">
      <c r="A1" s="160" t="inlineStr">
        <is>
          <t>LABOR  —  BERRIDGE ZEE-LOCK (DOUBLE-LOCK)</t>
        </is>
      </c>
    </row>
    <row r="2" ht="15.75" customHeight="1" s="102">
      <c r="A2" s="161" t="inlineStr">
        <is>
          <t>Qty pulls LIVE from the bid. No tax on labor (new con). The ×2 inside $500/man-day IS the labor profit.</t>
        </is>
      </c>
    </row>
    <row r="3" ht="15" customHeight="1" s="102"/>
    <row r="4" ht="15" customHeight="1" s="102">
      <c r="A4" s="149" t="inlineStr">
        <is>
          <t>Line</t>
        </is>
      </c>
      <c r="B4" s="149" t="inlineStr">
        <is>
          <t>Qty</t>
        </is>
      </c>
      <c r="C4" s="149" t="inlineStr">
        <is>
          <t>Unit</t>
        </is>
      </c>
      <c r="D4" s="149" t="inlineStr">
        <is>
          <t>Rate</t>
        </is>
      </c>
      <c r="E4" s="149" t="inlineStr">
        <is>
          <t>Total</t>
        </is>
      </c>
    </row>
    <row r="5" ht="15" customHeight="1" s="102">
      <c r="A5" s="105" t="inlineStr">
        <is>
          <t>Panel install (incl. ALL flat-metal install)</t>
        </is>
      </c>
      <c r="B5" s="162">
        <f>'Bid (All-In Priced)'!F14</f>
        <v/>
      </c>
      <c r="C5" s="139" t="inlineStr">
        <is>
          <t>sq</t>
        </is>
      </c>
      <c r="D5" s="163">
        <f>INDEX($D$14:$D$25,MATCH('Bid (All-In Priced)'!F71,$A$14:$A$25,0))</f>
        <v/>
      </c>
      <c r="E5" s="108">
        <f>B5*D5</f>
        <v/>
      </c>
    </row>
    <row r="6" ht="15" customHeight="1" s="102">
      <c r="A6" s="105" t="inlineStr">
        <is>
          <t>Ice &amp; Water install</t>
        </is>
      </c>
      <c r="B6" s="135">
        <f>'Bid (All-In Priced)'!D77</f>
        <v/>
      </c>
      <c r="C6" s="139" t="inlineStr">
        <is>
          <t>sq</t>
        </is>
      </c>
      <c r="D6" s="163">
        <f>INDEX($C$14:$C$25,MATCH('Bid (All-In Priced)'!F71,$A$14:$A$25,0))</f>
        <v/>
      </c>
      <c r="E6" s="108">
        <f>B6*D6</f>
        <v/>
      </c>
    </row>
    <row r="7" ht="15" customHeight="1" s="102">
      <c r="A7" s="105" t="inlineStr">
        <is>
          <t>Flat-metal shop fab (all pieces)</t>
        </is>
      </c>
      <c r="B7" s="135">
        <f>'Bid (All-In Priced)'!F25+'Bid (All-In Priced)'!F29+'Bid (All-In Priced)'!F31+'Bid (All-In Priced)'!F33+'Bid (All-In Priced)'!F35+'Bid (All-In Priced)'!F37+'Bid (All-In Priced)'!F39+'Bid (All-In Priced)'!F43+'Bid (All-In Priced)'!F47+'Bid (All-In Priced)'!F49</f>
        <v/>
      </c>
      <c r="C7" s="139" t="inlineStr">
        <is>
          <t>sheet</t>
        </is>
      </c>
      <c r="D7" s="151" t="n">
        <v>40</v>
      </c>
      <c r="E7" s="108">
        <f>B7*D7</f>
        <v/>
      </c>
    </row>
    <row r="8" ht="15" customHeight="1" s="102">
      <c r="A8" s="164" t="inlineStr">
        <is>
          <t>LABOR TOTAL (no tax)</t>
        </is>
      </c>
      <c r="B8" s="165" t="n"/>
      <c r="C8" s="165" t="n"/>
      <c r="D8" s="165" t="n"/>
      <c r="E8" s="166">
        <f>SUM(E5:E7)</f>
        <v/>
      </c>
    </row>
    <row r="9" ht="15" customHeight="1" s="102">
      <c r="A9" s="101" t="inlineStr">
        <is>
          <t>Blue = editable rate (charts below). Panel + I&amp;W rates follow pitch automatically. 'Labor total' feeds the bid.</t>
        </is>
      </c>
    </row>
    <row r="10" ht="15" customHeight="1" s="102">
      <c r="A10" s="113" t="inlineStr">
        <is>
          <t>Blue = editable rate. Qty live from bid. $250/sq covers panels AND all flat-metal field install. ‘Labor total’ feeds the bid.</t>
        </is>
      </c>
    </row>
    <row r="11" ht="15" customHeight="1" s="102"/>
    <row r="12" ht="15" customHeight="1" s="102">
      <c r="A12" s="167" t="inlineStr">
        <is>
          <t>LABOR RATES BY PITCH  ($/sq)</t>
        </is>
      </c>
    </row>
    <row r="13" ht="15" customHeight="1" s="102">
      <c r="A13" s="168" t="inlineStr">
        <is>
          <t>Pitch</t>
        </is>
      </c>
      <c r="B13" s="168" t="inlineStr">
        <is>
          <t>Felt</t>
        </is>
      </c>
      <c r="C13" s="168" t="inlineStr">
        <is>
          <t>Ice &amp; Water</t>
        </is>
      </c>
      <c r="D13" s="168" t="inlineStr">
        <is>
          <t>Panels</t>
        </is>
      </c>
    </row>
    <row r="14" ht="15" customHeight="1" s="102">
      <c r="A14" s="169" t="n">
        <v>1</v>
      </c>
      <c r="B14" s="170" t="n">
        <v>20</v>
      </c>
      <c r="C14" s="170" t="n">
        <v>40</v>
      </c>
      <c r="D14" s="170" t="n">
        <v>270</v>
      </c>
    </row>
    <row r="15" ht="15" customHeight="1" s="102">
      <c r="A15" s="169" t="n">
        <v>2</v>
      </c>
      <c r="B15" s="170" t="n">
        <v>20</v>
      </c>
      <c r="C15" s="170" t="n">
        <v>40</v>
      </c>
      <c r="D15" s="170" t="n">
        <v>270</v>
      </c>
    </row>
    <row r="16" ht="15" customHeight="1" s="102">
      <c r="A16" s="169" t="n">
        <v>3</v>
      </c>
      <c r="B16" s="170" t="n">
        <v>20</v>
      </c>
      <c r="C16" s="170" t="n">
        <v>40</v>
      </c>
      <c r="D16" s="170" t="n">
        <v>270</v>
      </c>
    </row>
    <row r="17" ht="15" customHeight="1" s="102">
      <c r="A17" s="169" t="n">
        <v>4</v>
      </c>
      <c r="B17" s="170" t="n">
        <v>20</v>
      </c>
      <c r="C17" s="170" t="n">
        <v>40</v>
      </c>
      <c r="D17" s="170" t="n">
        <v>270</v>
      </c>
    </row>
    <row r="18" ht="15" customHeight="1" s="102">
      <c r="A18" s="169" t="n">
        <v>5</v>
      </c>
      <c r="B18" s="170" t="n">
        <v>20</v>
      </c>
      <c r="C18" s="170" t="n">
        <v>40</v>
      </c>
      <c r="D18" s="170" t="n">
        <v>270</v>
      </c>
    </row>
    <row r="19" ht="15" customHeight="1" s="102">
      <c r="A19" s="169" t="n">
        <v>6</v>
      </c>
      <c r="B19" s="170" t="n">
        <v>20</v>
      </c>
      <c r="C19" s="170" t="n">
        <v>40</v>
      </c>
      <c r="D19" s="170" t="n">
        <v>270</v>
      </c>
    </row>
    <row r="20" ht="15" customHeight="1" s="102">
      <c r="A20" s="169" t="n">
        <v>7</v>
      </c>
      <c r="B20" s="170" t="n">
        <v>22</v>
      </c>
      <c r="C20" s="170" t="n">
        <v>42</v>
      </c>
      <c r="D20" s="170" t="n">
        <v>280</v>
      </c>
    </row>
    <row r="21" ht="15.75" customHeight="1" s="102">
      <c r="A21" s="169" t="n">
        <v>8</v>
      </c>
      <c r="B21" s="170" t="n">
        <v>24</v>
      </c>
      <c r="C21" s="170" t="n">
        <v>44</v>
      </c>
      <c r="D21" s="170" t="n">
        <v>290</v>
      </c>
    </row>
    <row r="22" ht="15.75" customHeight="1" s="102">
      <c r="A22" s="169" t="n">
        <v>9</v>
      </c>
      <c r="B22" s="170" t="n">
        <v>26</v>
      </c>
      <c r="C22" s="170" t="n">
        <v>46</v>
      </c>
      <c r="D22" s="170" t="n">
        <v>300</v>
      </c>
    </row>
    <row r="23" ht="15.75" customHeight="1" s="102">
      <c r="A23" s="169" t="n">
        <v>10</v>
      </c>
      <c r="B23" s="170" t="n">
        <v>28</v>
      </c>
      <c r="C23" s="170" t="n">
        <v>48</v>
      </c>
      <c r="D23" s="170" t="n">
        <v>310</v>
      </c>
    </row>
    <row r="24" ht="15.75" customHeight="1" s="102">
      <c r="A24" s="169" t="n">
        <v>11</v>
      </c>
      <c r="B24" s="170" t="n">
        <v>30</v>
      </c>
      <c r="C24" s="170" t="n">
        <v>50</v>
      </c>
      <c r="D24" s="170" t="n">
        <v>320</v>
      </c>
    </row>
    <row r="25" ht="15.75" customHeight="1" s="102">
      <c r="A25" s="169" t="n">
        <v>12</v>
      </c>
      <c r="B25" s="170" t="n">
        <v>32</v>
      </c>
      <c r="C25" s="170" t="n">
        <v>52</v>
      </c>
      <c r="D25" s="170" t="n">
        <v>330</v>
      </c>
    </row>
    <row r="26" ht="15.75" customHeight="1" s="102">
      <c r="A26" s="171" t="inlineStr">
        <is>
          <t>Rates pull from the pitch typed on the bid (6/12 on TEMPLATE). PANELS start $270 on Zee-Lock — hand seam + machine for the double lock. Fab stays $40/sheet.</t>
        </is>
      </c>
    </row>
    <row r="27" ht="15.75" customHeight="1" s="102"/>
    <row r="28" ht="15.75" customHeight="1" s="102"/>
    <row r="29" ht="15.75" customHeight="1" s="102"/>
    <row r="30" ht="15.75" customHeight="1" s="102"/>
    <row r="31" ht="15.75" customHeight="1" s="102"/>
    <row r="32" ht="15.75" customHeight="1" s="102"/>
    <row r="33" ht="15.75" customHeight="1" s="102"/>
    <row r="34" ht="15.75" customHeight="1" s="102"/>
    <row r="35" ht="15.75" customHeight="1" s="102"/>
    <row r="36" ht="15.75" customHeight="1" s="102"/>
    <row r="37" ht="15.75" customHeight="1" s="102"/>
    <row r="38" ht="15.75" customHeight="1" s="102"/>
    <row r="39" ht="15.75" customHeight="1" s="102"/>
    <row r="40" ht="15.75" customHeight="1" s="102"/>
    <row r="41" ht="15.75" customHeight="1" s="102"/>
    <row r="42" ht="15.75" customHeight="1" s="102"/>
    <row r="43" ht="15.75" customHeight="1" s="102"/>
    <row r="44" ht="15.75" customHeight="1" s="102"/>
    <row r="45" ht="15.75" customHeight="1" s="102"/>
    <row r="46" ht="15.75" customHeight="1" s="102"/>
    <row r="47" ht="15.75" customHeight="1" s="102"/>
    <row r="48" ht="15.75" customHeight="1" s="102"/>
    <row r="49" ht="15.75" customHeight="1" s="102"/>
    <row r="50" ht="15.75" customHeight="1" s="102"/>
    <row r="51" ht="15.75" customHeight="1" s="102"/>
    <row r="52" ht="15.75" customHeight="1" s="102"/>
    <row r="53" ht="15.75" customHeight="1" s="102"/>
    <row r="54" ht="15.75" customHeight="1" s="102"/>
    <row r="55" ht="15.75" customHeight="1" s="102"/>
    <row r="56" ht="15.75" customHeight="1" s="102"/>
    <row r="57" ht="15.75" customHeight="1" s="102"/>
    <row r="58" ht="15.75" customHeight="1" s="102"/>
    <row r="59" ht="15.75" customHeight="1" s="102"/>
    <row r="60" ht="15.75" customHeight="1" s="102"/>
    <row r="61" ht="15.75" customHeight="1" s="102"/>
    <row r="62" ht="15.75" customHeight="1" s="102"/>
    <row r="63" ht="15.75" customHeight="1" s="102"/>
    <row r="64" ht="15.75" customHeight="1" s="102"/>
    <row r="65" ht="15.75" customHeight="1" s="102"/>
    <row r="66" ht="15.75" customHeight="1" s="102"/>
    <row r="67" ht="15.75" customHeight="1" s="102"/>
    <row r="68" ht="15.75" customHeight="1" s="102"/>
    <row r="69" ht="15.75" customHeight="1" s="102"/>
    <row r="70" ht="15.75" customHeight="1" s="102"/>
    <row r="71" ht="15.75" customHeight="1" s="102"/>
    <row r="72" ht="15.75" customHeight="1" s="102"/>
    <row r="73" ht="15.75" customHeight="1" s="102"/>
    <row r="74" ht="15.75" customHeight="1" s="102"/>
    <row r="75" ht="15.75" customHeight="1" s="102"/>
    <row r="76" ht="15.75" customHeight="1" s="102"/>
    <row r="77" ht="15.75" customHeight="1" s="102"/>
    <row r="78" ht="15.75" customHeight="1" s="102"/>
    <row r="79" ht="15.75" customHeight="1" s="102"/>
    <row r="80" ht="15.75" customHeight="1" s="102"/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5">
    <mergeCell ref="A12:E12"/>
    <mergeCell ref="A26:E26"/>
    <mergeCell ref="A2:E2"/>
    <mergeCell ref="A10:E10"/>
    <mergeCell ref="A1:E1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I1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43359375" defaultRowHeight="15" zeroHeight="0" outlineLevelRow="0"/>
  <cols>
    <col width="34" customWidth="1" style="101" min="1" max="1"/>
    <col width="13" customWidth="1" style="101" min="2" max="2"/>
    <col width="11" customWidth="1" style="101" min="3" max="3"/>
    <col width="9" customWidth="1" style="101" min="4" max="4"/>
    <col width="10" customWidth="1" style="101" min="5" max="5"/>
    <col width="11" customWidth="1" style="101" min="6" max="7"/>
    <col width="12" customWidth="1" style="101" min="8" max="9"/>
    <col width="8.710000000000001" customWidth="1" style="101" min="10" max="26"/>
  </cols>
  <sheetData>
    <row r="1" ht="25.5" customHeight="1" s="102">
      <c r="A1" s="103" t="inlineStr">
        <is>
          <t>SMS ROOFING  —  BERRIDGE ZEE-LOCK (DOUBLE-LOCK)  •  TEMPLATE — type the job into the blue cells  •  BID + TAKEOFF WALK-THROUGH</t>
        </is>
      </c>
    </row>
    <row r="2" ht="15.75" customHeight="1" s="102">
      <c r="A2" s="114" t="inlineStr">
        <is>
          <t>Blue rows explain the line above with LIVE numbers. RED = raw/unrounded.</t>
        </is>
      </c>
    </row>
    <row r="3" ht="15" customHeight="1" s="102"/>
    <row r="4" ht="19.5" customHeight="1" s="102">
      <c r="A4" s="115" t="inlineStr">
        <is>
          <t>1 · PANEL TAKEOFF   —   quantity × length = linear feet (LF)</t>
        </is>
      </c>
    </row>
    <row r="5" ht="24" customHeight="1" s="102">
      <c r="A5" s="116">
        <f>"A takeoff is counting what you install. Qty × Length = the LF that run needs. Sum all = total panel LF."</f>
        <v/>
      </c>
    </row>
    <row r="6" ht="24" customHeight="1" s="102">
      <c r="A6" s="117" t="inlineStr">
        <is>
          <t>Run</t>
        </is>
      </c>
      <c r="B6" s="117" t="inlineStr">
        <is>
          <t>Qty</t>
        </is>
      </c>
      <c r="C6" s="117" t="inlineStr">
        <is>
          <t>Length ft</t>
        </is>
      </c>
      <c r="I6" s="117" t="inlineStr">
        <is>
          <t>LF (Qty×Len)</t>
        </is>
      </c>
    </row>
    <row r="7" ht="15" customHeight="1" s="102">
      <c r="A7" s="118" t="inlineStr">
        <is>
          <t>Panel LF (lump from takeoff)</t>
        </is>
      </c>
      <c r="B7" s="119" t="n">
        <v>1</v>
      </c>
      <c r="C7" s="120" t="n">
        <v>0</v>
      </c>
      <c r="I7" s="121">
        <f>B7*C7</f>
        <v/>
      </c>
    </row>
    <row r="8" ht="15" customHeight="1" s="102">
      <c r="A8" s="122" t="inlineStr">
        <is>
          <t>TOTAL PANEL LF</t>
        </is>
      </c>
      <c r="B8" s="123">
        <f>SUM(B7:B7)</f>
        <v/>
      </c>
      <c r="C8" s="124" t="n"/>
      <c r="D8" s="124" t="n"/>
      <c r="E8" s="124" t="n"/>
      <c r="F8" s="124" t="n"/>
      <c r="G8" s="124" t="n"/>
      <c r="H8" s="124" t="n"/>
      <c r="I8" s="125">
        <f>SUM(I7:I7)</f>
        <v/>
      </c>
    </row>
    <row r="9" ht="15" customHeight="1" s="102">
      <c r="A9" s="116">
        <f>"All runs = "&amp;B8&amp;" panels = "&amp;TEXT(I8,"#,##0.00")&amp;" LF — drives coil, fab, labor, clips, vinyl. Add rows above as runs come in."</f>
        <v/>
      </c>
    </row>
    <row r="10" ht="15" customHeight="1" s="102"/>
    <row r="11" ht="15" customHeight="1" s="102">
      <c r="A11" s="115" t="inlineStr">
        <is>
          <t>2 · PANEL SQUARES   —   LF into area (a ‘square’ = 100 sq ft)</t>
        </is>
      </c>
    </row>
    <row r="12" ht="15" customHeight="1" s="102">
      <c r="A12" s="118" t="inlineStr">
        <is>
          <t>Panel coverage width (in)</t>
        </is>
      </c>
      <c r="F12" s="126" t="n">
        <v>16</v>
      </c>
    </row>
    <row r="13" ht="15" customHeight="1" s="102">
      <c r="A13" s="118" t="inlineStr">
        <is>
          <t>Panel SF = LF × (width ÷ 12)</t>
        </is>
      </c>
      <c r="F13" s="127">
        <f>I8*(F12/12)</f>
        <v/>
      </c>
    </row>
    <row r="14" ht="15" customHeight="1" s="102">
      <c r="A14" s="128" t="inlineStr">
        <is>
          <t>Panel SQUARES = SF ÷ 100</t>
        </is>
      </c>
      <c r="F14" s="129">
        <f>F13/100</f>
        <v/>
      </c>
    </row>
    <row r="15" ht="15" customHeight="1" s="102">
      <c r="A15" s="116">
        <f>"Fab, labor, rivets price per square. "&amp;TEXT(I8,"#,##0")&amp;" LF × "&amp;F12&amp;"″÷12 = "&amp;TEXT(F13,"#,##0")&amp;" sf ÷100 = "&amp;TEXT(F14,"0.00")&amp;" sq."</f>
        <v/>
      </c>
    </row>
    <row r="16" ht="15" customHeight="1" s="102"/>
    <row r="17" ht="15" customHeight="1" s="102">
      <c r="A17" s="115" t="inlineStr">
        <is>
          <t>3 · COIL   —   raw metal, full 1000′ (or 500′) rolls</t>
        </is>
      </c>
    </row>
    <row r="18" ht="15" customHeight="1" s="102">
      <c r="A18" s="117" t="inlineStr">
        <is>
          <t>Item</t>
        </is>
      </c>
      <c r="B18" s="117" t="inlineStr">
        <is>
          <t>Need LF</t>
        </is>
      </c>
      <c r="C18" s="117" t="inlineStr">
        <is>
          <t>Coil LF</t>
        </is>
      </c>
      <c r="D18" s="117" t="inlineStr">
        <is>
          <t>Raw</t>
        </is>
      </c>
      <c r="E18" s="117" t="inlineStr">
        <is>
          <t>Coils</t>
        </is>
      </c>
      <c r="F18" s="117" t="inlineStr">
        <is>
          <t>$/coil</t>
        </is>
      </c>
      <c r="G18" s="117" t="inlineStr">
        <is>
          <t>Cost</t>
        </is>
      </c>
      <c r="I18" s="117" t="inlineStr">
        <is>
          <t>w/ tax</t>
        </is>
      </c>
    </row>
    <row r="19" ht="15" customHeight="1" s="102">
      <c r="A19" s="118" t="inlineStr">
        <is>
          <t>Zee-Lock coil</t>
        </is>
      </c>
      <c r="B19" s="127">
        <f>I8</f>
        <v/>
      </c>
      <c r="C19" s="130" t="n">
        <v>500</v>
      </c>
      <c r="D19" s="131">
        <f>B19/C19</f>
        <v/>
      </c>
      <c r="E19" s="132">
        <f>ROUNDUP(D19,0)</f>
        <v/>
      </c>
      <c r="F19" s="108">
        <f>C19*(20.875/12)*1.82</f>
        <v/>
      </c>
      <c r="G19" s="108">
        <f>E19*F19</f>
        <v/>
      </c>
      <c r="I19" s="108">
        <f>G19*1.0825</f>
        <v/>
      </c>
    </row>
    <row r="20" ht="15" customHeight="1" s="102">
      <c r="A20" s="116">
        <f>"Need "&amp;TEXT(I8,"#,##0")&amp;" LF ÷"&amp;C19&amp;" = "&amp;TEXT(D19,"0.00")&amp;" → "&amp;E19&amp;" coils. Price "&amp;C19&amp;"×(20.875÷12)×$1.82 = "&amp;TEXT(F19,"$#,##0")&amp;". Cost "&amp;TEXT(G19,"$#,##0")&amp;" +tax = "&amp;TEXT(I19,"$#,##0.00")&amp;"."</f>
        <v/>
      </c>
    </row>
    <row r="21" ht="15.75" customHeight="1" s="102"/>
    <row r="22" ht="15.75" customHeight="1" s="102">
      <c r="A22" s="115" t="inlineStr">
        <is>
          <t>4 · FLAT METAL   —   drip, hip/ridge, Z flash from 48″×10′ sheets</t>
        </is>
      </c>
    </row>
    <row r="23" ht="15.75" customHeight="1" s="102">
      <c r="A23" s="116">
        <f>"Cut from 48″×10′ sheets. 48 ÷ stretch-out = strips across; ×10′ = LF/sheet. LF ÷ that = sheets (round UP)."</f>
        <v/>
      </c>
    </row>
    <row r="24" ht="15.75" customHeight="1" s="102">
      <c r="A24" s="117" t="inlineStr">
        <is>
          <t>Piece</t>
        </is>
      </c>
      <c r="B24" s="117" t="inlineStr">
        <is>
          <t>LF</t>
        </is>
      </c>
      <c r="C24" s="117" t="inlineStr">
        <is>
          <t>Stretch-out in</t>
        </is>
      </c>
      <c r="D24" s="117" t="inlineStr">
        <is>
          <t>LF/sheet</t>
        </is>
      </c>
      <c r="E24" s="117" t="inlineStr">
        <is>
          <t>Raw sheets</t>
        </is>
      </c>
      <c r="F24" s="117" t="inlineStr">
        <is>
          <t>Sheets</t>
        </is>
      </c>
      <c r="G24" s="117" t="inlineStr">
        <is>
          <t>$/sheet</t>
        </is>
      </c>
      <c r="H24" s="117" t="inlineStr">
        <is>
          <t>Material</t>
        </is>
      </c>
      <c r="I24" s="117" t="inlineStr">
        <is>
          <t>Fab</t>
        </is>
      </c>
    </row>
    <row r="25" ht="15.75" customHeight="1" s="102">
      <c r="A25" s="118" t="inlineStr">
        <is>
          <t>D-style drip edge</t>
        </is>
      </c>
      <c r="B25" s="133" t="n">
        <v>0</v>
      </c>
      <c r="C25" s="134" t="n">
        <v>9.5</v>
      </c>
      <c r="D25" s="135">
        <f>FLOOR(48/C25,1)*10</f>
        <v/>
      </c>
      <c r="E25" s="131">
        <f>B25/D25</f>
        <v/>
      </c>
      <c r="F25" s="132">
        <f>ROUNDUP(E25,0)</f>
        <v/>
      </c>
      <c r="G25" s="172" t="n">
        <v>80</v>
      </c>
      <c r="H25" s="108">
        <f>F25*G25</f>
        <v/>
      </c>
      <c r="I25" s="108">
        <f>F25*40</f>
        <v/>
      </c>
    </row>
    <row r="26" ht="15.75" customHeight="1" s="102">
      <c r="A26" s="116">
        <f>"Drip: "&amp;TEXT(B25,"#,##0")&amp;" LF ÷ "&amp;D25&amp;" LF/sheet = "&amp;TEXT(E25,"0.00")&amp;" → "&amp;F25&amp;" sheets.  Material "&amp;F25&amp;"×$80 = "&amp;TEXT(H25,"$#,##0.00")&amp;";  fab "&amp;F25&amp;"×$40 = "&amp;TEXT(I25,"$#,##0.00")&amp;"."</f>
        <v/>
      </c>
    </row>
    <row r="27" ht="15.75" customHeight="1" s="102">
      <c r="A27" s="118" t="inlineStr">
        <is>
          <t>Drip edge cleat  (only if face &gt; 4″)</t>
        </is>
      </c>
      <c r="B27" s="133" t="n"/>
      <c r="C27" s="134" t="n"/>
      <c r="D27" s="135" t="n"/>
      <c r="E27" s="131" t="n"/>
      <c r="F27" s="132" t="n"/>
      <c r="G27" s="172" t="n"/>
      <c r="H27" s="108" t="n"/>
      <c r="I27" s="108" t="n"/>
    </row>
    <row r="28" ht="24" customHeight="1" s="102">
      <c r="A28" s="116" t="inlineStr">
        <is>
          <t>Drip edge cleat: PENDING Adam — only when the drip face is over 4″. LF + stretch-out to confirm; out of every total until then.</t>
        </is>
      </c>
    </row>
    <row r="29" ht="15.75" customHeight="1" s="102">
      <c r="A29" s="136" t="inlineStr">
        <is>
          <t>Rake-edge cap  (req. Z)</t>
        </is>
      </c>
      <c r="B29" s="133" t="n">
        <v>0</v>
      </c>
      <c r="C29" s="134" t="n">
        <v>12</v>
      </c>
      <c r="D29" s="135">
        <f>FLOOR(48/C29,1)*10</f>
        <v/>
      </c>
      <c r="E29" s="131">
        <f>B29/D29</f>
        <v/>
      </c>
      <c r="F29" s="132">
        <f>ROUNDUP(E29,0)</f>
        <v/>
      </c>
      <c r="G29" s="172" t="n">
        <v>80</v>
      </c>
      <c r="H29" s="108">
        <f>F29*G29</f>
        <v/>
      </c>
      <c r="I29" s="108">
        <f>F29*40</f>
        <v/>
      </c>
    </row>
    <row r="30" ht="19.5" customHeight="1" s="102">
      <c r="A30" s="116">
        <f>"Rake-edge cap: "&amp;TEXT(B29,"#,##0")&amp;" LF ÷ "&amp;D29&amp;" LF/sheet = "&amp;TEXT(E29,"0.00")&amp;" → "&amp;F29&amp;" sheets.  Material "&amp;F29&amp;"×$80 = "&amp;TEXT(H29,"$#,##0.00")&amp;";  fab "&amp;F29&amp;"×$40 = "&amp;TEXT(I29,"$#,##0.00")&amp;"."</f>
        <v/>
      </c>
    </row>
    <row r="31" ht="15.75" customHeight="1" s="102">
      <c r="A31" s="118" t="inlineStr">
        <is>
          <t>Rake edge cleat  (galv)</t>
        </is>
      </c>
      <c r="B31" s="133">
        <f>B29</f>
        <v/>
      </c>
      <c r="C31" s="134" t="n">
        <v>5</v>
      </c>
      <c r="D31" s="135">
        <f>FLOOR(48/C31,1)*10</f>
        <v/>
      </c>
      <c r="E31" s="131">
        <f>B31/D31</f>
        <v/>
      </c>
      <c r="F31" s="132">
        <f>ROUNDUP(E31,0)</f>
        <v/>
      </c>
      <c r="G31" s="172" t="n">
        <v>60</v>
      </c>
      <c r="H31" s="108">
        <f>F31*G31</f>
        <v/>
      </c>
      <c r="I31" s="108">
        <f>F31*40</f>
        <v/>
      </c>
    </row>
    <row r="32" ht="15.75" customHeight="1" s="102">
      <c r="A32" s="116">
        <f>"Rake edge cleat (follows rake-edge): "&amp;TEXT(B31,"#,##0")&amp;" LF ÷ "&amp;D31&amp;" LF/sheet = "&amp;TEXT(E31,"0.00")&amp;" → "&amp;F31&amp;" sheets.  Material "&amp;F31&amp;"×$60 = "&amp;TEXT(H31,"$#,##0.00")&amp;";  fab "&amp;F31&amp;"×$40 = "&amp;TEXT(I31,"$#,##0.00")&amp;"."</f>
        <v/>
      </c>
    </row>
    <row r="33" ht="15.75" customHeight="1" s="102">
      <c r="A33" s="118" t="inlineStr">
        <is>
          <t>(W) Valley</t>
        </is>
      </c>
      <c r="B33" s="133" t="n">
        <v>0</v>
      </c>
      <c r="C33" s="134" t="n">
        <v>24</v>
      </c>
      <c r="D33" s="135">
        <f>FLOOR(48/C33,1)*10</f>
        <v/>
      </c>
      <c r="E33" s="131">
        <f>B33/D33</f>
        <v/>
      </c>
      <c r="F33" s="132">
        <f>ROUNDUP(E33,0)</f>
        <v/>
      </c>
      <c r="G33" s="172" t="n">
        <v>80</v>
      </c>
      <c r="H33" s="108">
        <f>F33*G33</f>
        <v/>
      </c>
      <c r="I33" s="108">
        <f>F33*40</f>
        <v/>
      </c>
    </row>
    <row r="34" ht="24" customHeight="1" s="102">
      <c r="A34" s="116">
        <f>"(W) Valley: "&amp;TEXT(B33,"#,##0")&amp;" LF ÷ "&amp;D33&amp;" LF/sheet = "&amp;TEXT(E33,"0.00")&amp;" → "&amp;F33&amp;" sheets.  Material "&amp;F33&amp;"×$80 = "&amp;TEXT(H33,"$#,##0.00")&amp;";  fab "&amp;F33&amp;"×$40 = "&amp;TEXT(I33,"$#,##0.00")&amp;"."</f>
        <v/>
      </c>
    </row>
    <row r="35" ht="15.75" customHeight="1" s="102">
      <c r="A35" s="118" t="inlineStr">
        <is>
          <t>(W) Valley cleat  (both sides ×2)</t>
        </is>
      </c>
      <c r="B35" s="133">
        <f>B33*2</f>
        <v/>
      </c>
      <c r="C35" s="134" t="n">
        <v>3</v>
      </c>
      <c r="D35" s="135">
        <f>FLOOR(48/C35,1)*10</f>
        <v/>
      </c>
      <c r="E35" s="131">
        <f>B35/D35</f>
        <v/>
      </c>
      <c r="F35" s="132">
        <f>ROUNDUP(E35,0)</f>
        <v/>
      </c>
      <c r="G35" s="172" t="n">
        <v>60</v>
      </c>
      <c r="H35" s="108">
        <f>F35*G35</f>
        <v/>
      </c>
      <c r="I35" s="108">
        <f>F35*40</f>
        <v/>
      </c>
    </row>
    <row r="36" ht="19.5" customHeight="1" s="102">
      <c r="A36" s="116">
        <f>"(W) Valley cleat (valley ×2 sides): "&amp;TEXT(B35,"#,##0")&amp;" LF ÷ "&amp;D35&amp;" LF/sheet = "&amp;TEXT(E35,"0.00")&amp;" → "&amp;F35&amp;" sheets.  Material "&amp;F35&amp;"×$60 = "&amp;TEXT(H35,"$#,##0.00")&amp;";  fab "&amp;F35&amp;"×$40 = "&amp;TEXT(I35,"$#,##0.00")&amp;"."</f>
        <v/>
      </c>
    </row>
    <row r="37" ht="24" customHeight="1" s="102">
      <c r="A37" s="136" t="inlineStr">
        <is>
          <t>Hip/Ridge cap  (req. Z ×2 sides)</t>
        </is>
      </c>
      <c r="B37" s="133" t="n">
        <v>0</v>
      </c>
      <c r="C37" s="134" t="n">
        <v>16</v>
      </c>
      <c r="D37" s="135">
        <f>FLOOR(48/C37,1)*10</f>
        <v/>
      </c>
      <c r="E37" s="131">
        <f>B37/D37</f>
        <v/>
      </c>
      <c r="F37" s="132">
        <f>ROUNDUP(E37,0)</f>
        <v/>
      </c>
      <c r="G37" s="172" t="n">
        <v>80</v>
      </c>
      <c r="H37" s="108">
        <f>F37*G37</f>
        <v/>
      </c>
      <c r="I37" s="108">
        <f>F37*40</f>
        <v/>
      </c>
    </row>
    <row r="38" ht="15.75" customHeight="1" s="102">
      <c r="A38" s="116">
        <f>"Hip/Ridge: "&amp;TEXT(B37,"#,##0")&amp;" LF ÷ "&amp;D37&amp;" LF/sheet = "&amp;TEXT(E37,"0.00")&amp;" → "&amp;F37&amp;" sheets.  Material "&amp;F37&amp;"×$80 = "&amp;TEXT(H37,"$#,##0.00")&amp;";  fab "&amp;F37&amp;"×$40 = "&amp;TEXT(I37,"$#,##0.00")&amp;"."</f>
        <v/>
      </c>
    </row>
    <row r="39" ht="30" customHeight="1" s="102">
      <c r="A39" s="136" t="inlineStr">
        <is>
          <t>Rake wall  (req. Z + counterflashing)</t>
        </is>
      </c>
      <c r="B39" s="133" t="n">
        <v>0</v>
      </c>
      <c r="C39" s="134" t="n">
        <v>12</v>
      </c>
      <c r="D39" s="135">
        <f>FLOOR(48/C39,1)*10</f>
        <v/>
      </c>
      <c r="E39" s="131">
        <f>B39/D39</f>
        <v/>
      </c>
      <c r="F39" s="132">
        <f>ROUNDUP(E39,0)</f>
        <v/>
      </c>
      <c r="G39" s="172" t="n">
        <v>80</v>
      </c>
      <c r="H39" s="108">
        <f>F39*G39</f>
        <v/>
      </c>
      <c r="I39" s="108">
        <f>F39*40</f>
        <v/>
      </c>
    </row>
    <row r="40" ht="15.75" customHeight="1" s="102">
      <c r="A40" s="116">
        <f>"Rake wall: "&amp;TEXT(B39,"#,##0")&amp;" LF ÷ "&amp;D39&amp;" LF/sheet = "&amp;TEXT(E39,"0.00")&amp;" → "&amp;F39&amp;" sheets.  Material "&amp;F39&amp;"×$80 = "&amp;TEXT(H39,"$#,##0.00")&amp;";  fab "&amp;F39&amp;"×$40 = "&amp;TEXT(I39,"$#,##0.00")&amp;"."</f>
        <v/>
      </c>
    </row>
    <row r="41" ht="19.5" customHeight="1" s="102">
      <c r="A41" s="118" t="inlineStr">
        <is>
          <t>Head wall  (req. Z + counterflashing)</t>
        </is>
      </c>
      <c r="B41" s="133" t="n"/>
      <c r="C41" s="134" t="n"/>
      <c r="D41" s="135" t="n"/>
      <c r="E41" s="131" t="n"/>
      <c r="F41" s="132" t="n"/>
      <c r="G41" s="172" t="n"/>
      <c r="H41" s="108" t="n"/>
      <c r="I41" s="108" t="n"/>
    </row>
    <row r="42" ht="24" customHeight="1" s="102">
      <c r="A42" s="116" t="inlineStr">
        <is>
          <t>Head wall: none on TEMPLATE — sample/checklist row (works like rake wall: Z + counterflash). Fill LF + SO when a job has one.</t>
        </is>
      </c>
    </row>
    <row r="43" ht="24" customHeight="1" s="102">
      <c r="A43" s="136" t="inlineStr">
        <is>
          <t>Curb — L flash  (req. term-bar CF)</t>
        </is>
      </c>
      <c r="B43" s="133" t="n">
        <v>0</v>
      </c>
      <c r="C43" s="134" t="n">
        <v>16</v>
      </c>
      <c r="D43" s="135">
        <f>FLOOR(48/C43,1)*10</f>
        <v/>
      </c>
      <c r="E43" s="131">
        <f>B43/D43</f>
        <v/>
      </c>
      <c r="F43" s="132">
        <f>ROUNDUP(E43,0)</f>
        <v/>
      </c>
      <c r="G43" s="172" t="n">
        <v>80</v>
      </c>
      <c r="H43" s="108">
        <f>F43*G43</f>
        <v/>
      </c>
      <c r="I43" s="108">
        <f>F43*40</f>
        <v/>
      </c>
    </row>
    <row r="44" ht="15.75" customHeight="1" s="102">
      <c r="A44" s="116">
        <f>"Curb L flash: "&amp;TEXT(B43,"#,##0")&amp;" LF ÷ "&amp;D43&amp;" LF/sheet = "&amp;TEXT(E43,"0.00")&amp;" → "&amp;F43&amp;" sheets.  Material "&amp;F43&amp;"×$80 = "&amp;TEXT(H43,"$#,##0.00")&amp;";  fab "&amp;F43&amp;"×$40 = "&amp;TEXT(I43,"$#,##0.00")&amp;"."</f>
        <v/>
      </c>
    </row>
    <row r="45" ht="30" customHeight="1" s="102">
      <c r="A45" s="118" t="inlineStr">
        <is>
          <t>Z flashing  (BOUGHT — die-formed Zee-Closure)</t>
        </is>
      </c>
      <c r="B45" s="133">
        <f>B29+B37*2+B39+B41</f>
        <v/>
      </c>
      <c r="C45" s="134" t="n">
        <v>5</v>
      </c>
      <c r="D45" s="135">
        <f>FLOOR(48/C45,1)*10</f>
        <v/>
      </c>
      <c r="E45" s="131">
        <f>B45/D45</f>
        <v/>
      </c>
      <c r="F45" s="132">
        <f>ROUNDUP(E45,0)</f>
        <v/>
      </c>
      <c r="G45" s="172" t="n"/>
      <c r="H45" s="108" t="n"/>
      <c r="I45" s="108" t="n"/>
    </row>
    <row r="46" ht="37.5" customHeight="1" s="102">
      <c r="A46" s="137" t="inlineStr">
        <is>
          <t>Z flash:  rake-edge 80′ ×1  +  H/R 300′ ×2 = 600′  +  rake wall 30′ ×1  +  head wall — = 710′.
   •  BOUGHT: 710′ ÷ 16″ closures = 533 pcs × $1.99 = $1,060.67 (this is what the bid uses — making Zee closures by hand sucks).
   •  BY HAND alternate: 5″ SO → the sheet count on this row (8 sheets ≈ $640 material + $320 fab).</t>
        </is>
      </c>
    </row>
    <row r="47" ht="30" customHeight="1" s="102">
      <c r="A47" s="118" t="inlineStr">
        <is>
          <t>Counterflash</t>
        </is>
      </c>
      <c r="B47" s="133">
        <f>B39+B41</f>
        <v/>
      </c>
      <c r="C47" s="134" t="n">
        <v>6</v>
      </c>
      <c r="D47" s="135">
        <f>FLOOR(48/C47,1)*10</f>
        <v/>
      </c>
      <c r="E47" s="131">
        <f>B47/D47</f>
        <v/>
      </c>
      <c r="F47" s="132">
        <f>ROUNDUP(E47,0)</f>
        <v/>
      </c>
      <c r="G47" s="172" t="n">
        <v>80</v>
      </c>
      <c r="H47" s="108">
        <f>F47*G47</f>
        <v/>
      </c>
      <c r="I47" s="108">
        <f>F47*40</f>
        <v/>
      </c>
    </row>
    <row r="48" ht="25.5" customHeight="1" s="102">
      <c r="A48" s="137" t="inlineStr">
        <is>
          <t>Counterflash:  rake wall 30′  +  head wall —
   •  = 30′ ÷ 80 LF/sheet = 0.38 → 1 sheet.</t>
        </is>
      </c>
    </row>
    <row r="49" ht="30" customHeight="1" s="102">
      <c r="A49" s="118" t="inlineStr">
        <is>
          <t>Counterflash  (term bar)</t>
        </is>
      </c>
      <c r="B49" s="133">
        <f>B43</f>
        <v/>
      </c>
      <c r="C49" s="134" t="n">
        <v>6</v>
      </c>
      <c r="D49" s="135">
        <f>FLOOR(48/C49,1)*10</f>
        <v/>
      </c>
      <c r="E49" s="131">
        <f>B49/D49</f>
        <v/>
      </c>
      <c r="F49" s="132">
        <f>ROUNDUP(E49,0)</f>
        <v/>
      </c>
      <c r="G49" s="172" t="n">
        <v>80</v>
      </c>
      <c r="H49" s="108">
        <f>F49*G49</f>
        <v/>
      </c>
      <c r="I49" s="108">
        <f>F49*40</f>
        <v/>
      </c>
    </row>
    <row r="50" ht="25.5" customHeight="1" s="102">
      <c r="A50" s="137" t="inlineStr">
        <is>
          <t>Counterflash (term bar):  curb 20′  — like a term bar; fastens w/ WASHER-HEAD screws @6″ OC
   •  = 20′ ÷ 80 LF/sheet = 0.25 → 1 sheet.</t>
        </is>
      </c>
    </row>
    <row r="51" ht="15.75" customHeight="1" s="102">
      <c r="A51" s="173" t="inlineStr">
        <is>
          <t>Subtotal flat metal fab (labor)</t>
        </is>
      </c>
      <c r="B51" s="174" t="n"/>
      <c r="C51" s="174" t="n"/>
      <c r="D51" s="174" t="n"/>
      <c r="E51" s="174" t="n"/>
      <c r="F51" s="174" t="n"/>
      <c r="G51" s="174" t="n"/>
      <c r="H51" s="154">
        <f>H25+H29+H31+H33+H35+H37+H39+H43+H47+H49</f>
        <v/>
      </c>
      <c r="I51" s="154">
        <f>I25+I29+I31+I33+I35+I37+I39+I43+I47+I49</f>
        <v/>
      </c>
    </row>
    <row r="52" ht="19.5" customHeight="1" s="102"/>
    <row r="53" ht="24" customHeight="1" s="102">
      <c r="A53" s="115" t="inlineStr">
        <is>
          <t>5 · ACCESSORIES</t>
        </is>
      </c>
    </row>
    <row r="54" ht="15.75" customHeight="1" s="102">
      <c r="A54" s="117" t="inlineStr">
        <is>
          <t>Item</t>
        </is>
      </c>
      <c r="B54" s="117" t="inlineStr">
        <is>
          <t>Driver</t>
        </is>
      </c>
      <c r="C54" s="117" t="inlineStr">
        <is>
          <t>Raw</t>
        </is>
      </c>
      <c r="D54" s="117" t="inlineStr">
        <is>
          <t>Qty</t>
        </is>
      </c>
      <c r="E54" s="117" t="inlineStr">
        <is>
          <t>Pkg</t>
        </is>
      </c>
      <c r="F54" s="117" t="inlineStr">
        <is>
          <t>$/pkg</t>
        </is>
      </c>
      <c r="G54" s="117" t="inlineStr">
        <is>
          <t>Cost</t>
        </is>
      </c>
      <c r="I54" s="117" t="inlineStr">
        <is>
          <t>w/ tax</t>
        </is>
      </c>
    </row>
    <row r="55" ht="24" customHeight="1" s="102">
      <c r="A55" s="118" t="inlineStr">
        <is>
          <t>Caulk (under Z + drip, +1 tube/sq cover)</t>
        </is>
      </c>
      <c r="B55" s="138" t="inlineStr">
        <is>
          <t>(Z + drip LF) ÷ 20  + 1/panel sq</t>
        </is>
      </c>
      <c r="C55" s="131">
        <f>(B45+B25)/20+F14</f>
        <v/>
      </c>
      <c r="D55" s="132">
        <f>ROUNDUP((B45+B25)/20+F14,0)</f>
        <v/>
      </c>
      <c r="E55" s="139" t="inlineStr">
        <is>
          <t>tube</t>
        </is>
      </c>
      <c r="F55" s="172" t="n">
        <v>10</v>
      </c>
      <c r="G55" s="108">
        <f>D55*F55</f>
        <v/>
      </c>
      <c r="I55" s="108">
        <f>G55*1.0825</f>
        <v/>
      </c>
    </row>
    <row r="56" ht="15.75" customHeight="1" s="102">
      <c r="A56" s="116">
        <f>"Caulk: (Z "&amp;TEXT(B45,"#,##0")&amp;" + drip "&amp;TEXT(B25,"#,##0")&amp;")÷20 = "&amp;TEXT((B45+B25)/20,"0.00")&amp;" + 1/sq × "&amp;TEXT(F14,"0.00")&amp;" = "&amp;TEXT(C55,"0.00")&amp;" → "&amp;D55&amp;" tubes ×$"&amp;F55&amp;" = "&amp;TEXT(G55,"$#,##0.00")&amp;" +tax "&amp;TEXT(I55,"$#,##0.00")&amp;"."</f>
        <v/>
      </c>
    </row>
    <row r="57" ht="24" customHeight="1" s="102">
      <c r="A57" s="118" t="inlineStr">
        <is>
          <t>Rivets (1 box / 10 PANEL sq)</t>
        </is>
      </c>
      <c r="B57" s="138" t="inlineStr">
        <is>
          <t>panel sq ÷ 10</t>
        </is>
      </c>
      <c r="C57" s="131">
        <f>F14/10</f>
        <v/>
      </c>
      <c r="D57" s="132">
        <f>ROUNDUP(F14/10,0)</f>
        <v/>
      </c>
      <c r="E57" s="139" t="inlineStr">
        <is>
          <t>box</t>
        </is>
      </c>
      <c r="F57" s="172" t="n">
        <v>50</v>
      </c>
      <c r="G57" s="108">
        <f>D57*F57</f>
        <v/>
      </c>
      <c r="I57" s="108">
        <f>G57*1.0825</f>
        <v/>
      </c>
    </row>
    <row r="58" ht="15.75" customHeight="1" s="102">
      <c r="A58" s="116">
        <f>"Rivets: "&amp;TEXT(F14,"0.00")&amp;" panel sq ÷10 (metal, not I&amp;W)"&amp;" → "&amp;D57&amp;" box ×$"&amp;F57&amp;" = "&amp;TEXT(G57,"$#,##0.00")&amp;" +tax "&amp;TEXT(I57,"$#,##0.00")&amp;"."</f>
        <v/>
      </c>
    </row>
    <row r="59" ht="24" customHeight="1" s="102">
      <c r="A59" s="118" t="inlineStr">
        <is>
          <t>Zee-Lock clips 2-1/6″ (panel LF ÷ OC)</t>
        </is>
      </c>
      <c r="B59" s="138" t="inlineStr">
        <is>
          <t>clips ÷ 300/box</t>
        </is>
      </c>
      <c r="C59" s="131">
        <f>ROUNDUP(I8/2,0)/300</f>
        <v/>
      </c>
      <c r="D59" s="132">
        <f>ROUNDUP(ROUNDUP(I8/2,0)/300,0)</f>
        <v/>
      </c>
      <c r="E59" s="139" t="inlineStr">
        <is>
          <t>bx/300</t>
        </is>
      </c>
      <c r="F59" s="172" t="n">
        <v>174</v>
      </c>
      <c r="G59" s="108">
        <f>D59*F59</f>
        <v/>
      </c>
      <c r="I59" s="108">
        <f>G59*1.0825</f>
        <v/>
      </c>
    </row>
    <row r="60" ht="15.75" customHeight="1" s="102">
      <c r="A60" s="116">
        <f>"Clips: "&amp;ROUNDUP(I8/2,0)&amp;" ÷300/box → "&amp;D59&amp;" bx ×$"&amp;F59&amp;" = "&amp;TEXT(G59,"$#,##0.00")&amp;".  ALTERNATE continuous Zee-Rib: "&amp;TEXT(I8,"#,##0")&amp;"′×$0.59 = "&amp;TEXT(I8*0.59,"$#,##0.00")&amp;" → swings the BID "&amp;TEXT((I8*0.59-G59)*1.0825*1.2,"+$#,##0.00;-$#,##0.00")&amp;". Adam picks."</f>
        <v/>
      </c>
    </row>
    <row r="61" ht="24" customHeight="1" s="102">
      <c r="A61" s="118" t="inlineStr">
        <is>
          <t>Vinyl weatherstrip — NONE on double-lock</t>
        </is>
      </c>
      <c r="B61" s="138" t="inlineStr">
        <is>
          <t>panel LF ÷ 1400</t>
        </is>
      </c>
      <c r="C61" s="131" t="n">
        <v>0</v>
      </c>
      <c r="D61" s="132" t="n">
        <v>0</v>
      </c>
      <c r="E61" s="139" t="inlineStr">
        <is>
          <t>roll</t>
        </is>
      </c>
      <c r="F61" s="172" t="n">
        <v>392</v>
      </c>
      <c r="G61" s="108" t="n">
        <v>0</v>
      </c>
      <c r="I61" s="108" t="n">
        <v>0</v>
      </c>
    </row>
    <row r="62" ht="15.75" customHeight="1" s="102">
      <c r="A62" s="116" t="inlineStr">
        <is>
          <t>Vinyl: the double-lock seam takes NO vinyl bead (Berridge SP-21 datasheet — single-lock only). Row kept as the checklist. CONFIRM w/ Adam.</t>
        </is>
      </c>
    </row>
    <row r="63" ht="24" customHeight="1" s="102">
      <c r="A63" s="118" t="inlineStr">
        <is>
          <t>Screws (per-piece OC)</t>
        </is>
      </c>
      <c r="B63" s="138" t="inlineStr">
        <is>
          <t>clips×2 +drip×2 +cleats×2 +walls×1 +curb×2</t>
        </is>
      </c>
      <c r="C63" s="131">
        <f>((ROUNDUP(I8/2,0)*2)+(B25*2)+(B31*2)+(B35*2)+(B39*1)+(B41*1)+(B43*2))/250</f>
        <v/>
      </c>
      <c r="D63" s="132">
        <f>ROUNDUP(((ROUNDUP(I8/2,0)*2)+(B25*2)+(B31*2)+(B35*2)+(B39*1)+(B41*1)+(B43*2))/250,0)</f>
        <v/>
      </c>
      <c r="E63" s="139" t="inlineStr">
        <is>
          <t>bag</t>
        </is>
      </c>
      <c r="F63" s="172" t="n">
        <v>20</v>
      </c>
      <c r="G63" s="108">
        <f>D63*F63</f>
        <v/>
      </c>
      <c r="I63" s="108">
        <f>G63*1.0825</f>
        <v/>
      </c>
    </row>
    <row r="64" ht="15.75" customHeight="1" s="102">
      <c r="A64" s="116">
        <f>"Screws: clips "&amp;ROUNDUP(I8/2,0)&amp;"×2 + drip "&amp;B25&amp;"×2 + rake edge cleat "&amp;B31&amp;"×2 + valley cleat "&amp;B35&amp;"×2 + rake wall "&amp;B39&amp;"×1 + curb L "&amp;B43&amp;"×2 = "&amp;((ROUNDUP(I8/2,0)*2)+(B25*2)+(B31*2)+(B35*2)+(B39*1)+(B41*1)+(B43*2))&amp;" ÷250/bag → "&amp;D63&amp;" bags ×$"&amp;F63&amp;" = "&amp;TEXT(G63,"$#,##0.00")&amp;" +tax "&amp;TEXT(I63,"$#,##0.00")&amp;". No fastener: rake-edge cap, H/R, valley, Z, reg. CF."</f>
        <v/>
      </c>
    </row>
    <row r="65" ht="15.75" customHeight="1" s="102">
      <c r="A65" s="118" t="inlineStr">
        <is>
          <t>Washer-head screws (term bar CF)</t>
        </is>
      </c>
      <c r="B65" s="138" t="inlineStr">
        <is>
          <t>CF (term bar) ×2 @6″ OC</t>
        </is>
      </c>
      <c r="C65" s="131">
        <f>(B49*2)/250</f>
        <v/>
      </c>
      <c r="D65" s="132">
        <f>ROUNDUP((B49*2)/250,0)</f>
        <v/>
      </c>
      <c r="E65" s="139" t="inlineStr">
        <is>
          <t>bag</t>
        </is>
      </c>
      <c r="F65" s="172" t="n">
        <v>20</v>
      </c>
      <c r="G65" s="108">
        <f>D65*F65</f>
        <v/>
      </c>
      <c r="I65" s="108">
        <f>G65*1.0825</f>
        <v/>
      </c>
    </row>
    <row r="66" ht="19.5" customHeight="1" s="102">
      <c r="A66" s="116">
        <f>"Washer-head screws: CF (term bar) "&amp;B49&amp;"′ ×2 (6″ OC) = "&amp;(B49*2)&amp;" ÷250/bag → "&amp;D65&amp;" bag ×$"&amp;F65&amp;" = "&amp;TEXT(G65,"$#,##0.00")&amp;" +tax "&amp;TEXT(I65,"$#,##0.00")&amp;"."</f>
        <v/>
      </c>
    </row>
    <row r="67" ht="15.75" customHeight="1" s="102">
      <c r="A67" s="173" t="inlineStr">
        <is>
          <t>Subtotal accessories</t>
        </is>
      </c>
      <c r="B67" s="174" t="n"/>
      <c r="C67" s="174" t="n"/>
      <c r="D67" s="174" t="n"/>
      <c r="E67" s="174" t="n"/>
      <c r="F67" s="174" t="n"/>
      <c r="G67" s="154">
        <f>SUM(G55:G65)</f>
        <v/>
      </c>
      <c r="H67" s="174" t="n"/>
      <c r="I67" s="154">
        <f>I55+I57+I59+I61+I63+I65</f>
        <v/>
      </c>
    </row>
    <row r="68" ht="15.75" customHeight="1" s="102"/>
    <row r="69" ht="15.75" customHeight="1" s="102">
      <c r="A69" s="115" t="inlineStr">
        <is>
          <t>6 · HIGH-TEMP ICE &amp; WATER SHIELD</t>
        </is>
      </c>
    </row>
    <row r="70" ht="15.75" customHeight="1" s="102">
      <c r="A70" s="118" t="inlineStr">
        <is>
          <t>Field area (sf)</t>
        </is>
      </c>
      <c r="F70" s="130" t="n">
        <v>0</v>
      </c>
    </row>
    <row r="71" ht="15.75" customHeight="1" s="102">
      <c r="A71" s="118" t="inlineStr">
        <is>
          <t>Pitch (rise / 12) — ASKED per job</t>
        </is>
      </c>
      <c r="F71" s="134" t="n">
        <v>6</v>
      </c>
    </row>
    <row r="72" ht="15.75" customHeight="1" s="102">
      <c r="A72" s="118" t="inlineStr">
        <is>
          <t>Pitch factor (table on Bid tab)</t>
        </is>
      </c>
      <c r="F72" s="143">
        <f>INDEX(Bid!$H$69:$H$80,MATCH(F71,Bid!$G$69:$G$80,0))</f>
        <v/>
      </c>
    </row>
    <row r="73" ht="15.75" customHeight="1" s="102">
      <c r="A73" s="118" t="inlineStr">
        <is>
          <t>Waste factor (×)</t>
        </is>
      </c>
      <c r="F73" s="134" t="n">
        <v>1.15</v>
      </c>
    </row>
    <row r="74" ht="15.75" customHeight="1" s="102">
      <c r="A74" s="118" t="inlineStr">
        <is>
          <t>Material qty (sf) = field × pitch × waste</t>
        </is>
      </c>
      <c r="F74" s="144">
        <f>F70*F72*F73</f>
        <v/>
      </c>
    </row>
    <row r="75" ht="43.5" customHeight="1" s="102">
      <c r="A75" s="118" t="inlineStr">
        <is>
          <t>Coverage (sq/roll)</t>
        </is>
      </c>
      <c r="F75" s="134" t="n">
        <v>1.8</v>
      </c>
    </row>
    <row r="76" ht="15.75" customHeight="1" s="102">
      <c r="A76" s="118" t="inlineStr">
        <is>
          <t>Rolls = (qty sf ÷ 100) ÷ 1.8</t>
        </is>
      </c>
      <c r="C76" s="131">
        <f>(F74/100)/F75</f>
        <v/>
      </c>
      <c r="D76" s="132">
        <f>ROUNDUP(C76,0)</f>
        <v/>
      </c>
      <c r="E76" s="139" t="inlineStr">
        <is>
          <t>roll</t>
        </is>
      </c>
      <c r="F76" s="172" t="n">
        <v>120</v>
      </c>
      <c r="G76" s="108">
        <f>D76*F76</f>
        <v/>
      </c>
      <c r="I76" s="154">
        <f>G76*1.0825</f>
        <v/>
      </c>
    </row>
    <row r="77" ht="19.5" customHeight="1" s="102">
      <c r="A77" s="118" t="inlineStr">
        <is>
          <t>Labor sq = field × pitch ÷ 100  → × rate by pitch</t>
        </is>
      </c>
      <c r="C77" s="131">
        <f>F70*F72/100</f>
        <v/>
      </c>
      <c r="D77" s="132">
        <f>ROUNDUP(C77,0)</f>
        <v/>
      </c>
      <c r="E77" s="139" t="inlineStr">
        <is>
          <t>sq</t>
        </is>
      </c>
      <c r="F77" s="172">
        <f>INDEX(Labor!$C$14:$C$25,MATCH(F71,Labor!$A$14:$A$25,0))</f>
        <v/>
      </c>
      <c r="G77" s="175">
        <f>D77*F77</f>
        <v/>
      </c>
      <c r="I77" s="155" t="n"/>
    </row>
    <row r="78" ht="24" customHeight="1" s="102">
      <c r="A78" s="118" t="inlineStr">
        <is>
          <t>Plastic cap nails (1 box / 40 sq; &lt;1.25 rounds DOWN, min 1)</t>
        </is>
      </c>
      <c r="C78" s="131">
        <f>(F74/100)/40</f>
        <v/>
      </c>
      <c r="D78" s="132">
        <f>IF(C78&lt;1.25,MAX(1,ROUNDDOWN(C78,0)),ROUNDUP(C78,0))</f>
        <v/>
      </c>
      <c r="E78" s="139" t="inlineStr">
        <is>
          <t>box</t>
        </is>
      </c>
      <c r="F78" s="172" t="n">
        <v>25</v>
      </c>
      <c r="G78" s="108">
        <f>D78*F78</f>
        <v/>
      </c>
      <c r="I78" s="108">
        <f>G78*1.0825</f>
        <v/>
      </c>
    </row>
    <row r="79" ht="15.75" customHeight="1" s="102">
      <c r="A79" s="116">
        <f>"I&amp;W: "&amp;TEXT(F70,"#,##0")&amp;" × pitch "&amp;F71&amp;"/12 ("&amp;TEXT(F72,"0.0000")&amp;") × waste "&amp;F73&amp;" = "&amp;TEXT(F74,"#,##0")&amp;" sf ÷100÷1.8 = "&amp;TEXT((F74/100)/F75,"0.00")&amp;" → "&amp;D76&amp;" rolls (=$"&amp;TEXT(G76,"#,##0")&amp;" +tax "&amp;TEXT(I76,"$#,##0.00")&amp;"). Labor "&amp;D77&amp;" sq ×$40 = "&amp;TEXT(G77,"$#,##0.00")&amp;". Caps "&amp;TEXT(C78,"0.00")&amp;" &lt;1.25 → "&amp;D78&amp;" box (min 1)."</f>
        <v/>
      </c>
    </row>
    <row r="80" ht="15.75" customHeight="1" s="102"/>
    <row r="81" ht="15.75" customHeight="1" s="102">
      <c r="A81" s="115" t="inlineStr">
        <is>
          <t>7 · LABOR   (no tax — new construction)</t>
        </is>
      </c>
    </row>
    <row r="82" ht="15.75" customHeight="1" s="102">
      <c r="A82" s="117" t="inlineStr">
        <is>
          <t>Line</t>
        </is>
      </c>
      <c r="C82" s="117" t="inlineStr">
        <is>
          <t>Qty</t>
        </is>
      </c>
      <c r="D82" s="117" t="inlineStr">
        <is>
          <t>Rate</t>
        </is>
      </c>
      <c r="I82" s="117" t="inlineStr">
        <is>
          <t>Total</t>
        </is>
      </c>
    </row>
    <row r="83" ht="15.75" customHeight="1" s="102">
      <c r="A83" s="118" t="inlineStr">
        <is>
          <t>Panel install (incl. ALL flat-metal install)</t>
        </is>
      </c>
      <c r="C83" s="162">
        <f>F14</f>
        <v/>
      </c>
      <c r="D83" s="172">
        <f>INDEX(Labor!$D$14:$D$25,MATCH(F71,Labor!$A$14:$A$25,0))</f>
        <v/>
      </c>
      <c r="I83" s="108">
        <f>C83*D83</f>
        <v/>
      </c>
    </row>
    <row r="84" ht="19.5" customHeight="1" s="102">
      <c r="A84" s="118" t="inlineStr">
        <is>
          <t>Ice &amp; Water install</t>
        </is>
      </c>
      <c r="C84" s="176">
        <f>D77</f>
        <v/>
      </c>
      <c r="D84" s="172">
        <f>INDEX(Labor!$C$14:$C$25,MATCH(F71,Labor!$A$14:$A$25,0))</f>
        <v/>
      </c>
      <c r="I84" s="108">
        <f>C84*D84</f>
        <v/>
      </c>
    </row>
    <row r="85" ht="15.75" customHeight="1" s="102">
      <c r="A85" s="118" t="inlineStr">
        <is>
          <t>Flat-metal shop fab (all pieces)</t>
        </is>
      </c>
      <c r="C85" s="176">
        <f>(F25+F29+F31+F33+F35+F37+F39+F43+F47+F49)</f>
        <v/>
      </c>
      <c r="D85" s="172" t="n">
        <v>40</v>
      </c>
      <c r="I85" s="108">
        <f>C85*D85</f>
        <v/>
      </c>
    </row>
    <row r="86" ht="24" customHeight="1" s="102">
      <c r="A86" s="173" t="inlineStr">
        <is>
          <t>LABOR SUBTOTAL</t>
        </is>
      </c>
      <c r="B86" s="174" t="n"/>
      <c r="C86" s="174" t="n"/>
      <c r="D86" s="174" t="n"/>
      <c r="E86" s="174" t="n"/>
      <c r="F86" s="174" t="n"/>
      <c r="G86" s="174" t="n"/>
      <c r="H86" s="174" t="n"/>
      <c r="I86" s="154">
        <f>SUM(I83:I85)</f>
        <v/>
      </c>
    </row>
    <row r="87" ht="15.75" customHeight="1" s="102"/>
    <row r="88" ht="15.75" customHeight="1" s="102">
      <c r="A88" s="115" t="inlineStr">
        <is>
          <t>8 · TOTALS</t>
        </is>
      </c>
    </row>
    <row r="89" ht="15.75" customHeight="1" s="102">
      <c r="A89" s="118" t="inlineStr">
        <is>
          <t>Panel fabrication (roll-form) = sq × $40</t>
        </is>
      </c>
      <c r="H89" s="108">
        <f>F14*40</f>
        <v/>
      </c>
      <c r="I89" s="108">
        <f>H89*1.0825</f>
        <v/>
      </c>
    </row>
    <row r="90" ht="24" customHeight="1" s="102">
      <c r="A90" s="117" t="inlineStr">
        <is>
          <t>Bucket</t>
        </is>
      </c>
      <c r="H90" s="117" t="inlineStr">
        <is>
          <t>Cost</t>
        </is>
      </c>
      <c r="I90" s="117" t="inlineStr">
        <is>
          <t>w/ tax</t>
        </is>
      </c>
    </row>
    <row r="91" ht="15.75" customHeight="1" s="102">
      <c r="A91" s="173" t="inlineStr">
        <is>
          <t>MATERIAL (from Material Order tab, w/ tax)</t>
        </is>
      </c>
      <c r="B91" s="174" t="n"/>
      <c r="C91" s="174" t="n"/>
      <c r="D91" s="174" t="n"/>
      <c r="E91" s="174" t="n"/>
      <c r="F91" s="174" t="n"/>
      <c r="G91" s="174" t="n"/>
      <c r="H91" s="174" t="n"/>
      <c r="I91" s="154">
        <f>'Material Order'!E38</f>
        <v/>
      </c>
    </row>
    <row r="92" ht="19.5" customHeight="1" s="102">
      <c r="A92" s="173" t="inlineStr">
        <is>
          <t>LABOR (no tax)</t>
        </is>
      </c>
      <c r="B92" s="174" t="n"/>
      <c r="C92" s="174" t="n"/>
      <c r="D92" s="174" t="n"/>
      <c r="E92" s="174" t="n"/>
      <c r="F92" s="174" t="n"/>
      <c r="G92" s="174" t="n"/>
      <c r="H92" s="174" t="n"/>
      <c r="I92" s="154">
        <f>I86</f>
        <v/>
      </c>
    </row>
    <row r="93" ht="15.75" customHeight="1" s="102">
      <c r="A93" s="177" t="inlineStr">
        <is>
          <t>COST TOTAL (material w/tax + labor)</t>
        </is>
      </c>
      <c r="B93" s="178" t="n"/>
      <c r="C93" s="178" t="n"/>
      <c r="D93" s="178" t="n"/>
      <c r="E93" s="178" t="n"/>
      <c r="F93" s="178" t="n"/>
      <c r="G93" s="178" t="n"/>
      <c r="H93" s="178" t="n"/>
      <c r="I93" s="175">
        <f>I91+I86</f>
        <v/>
      </c>
    </row>
    <row r="94" ht="15.75" customHeight="1" s="102">
      <c r="A94" s="116">
        <f>"Tax on MATERIAL only (8.25%). Material (from order tab, w/tax) "&amp;TEXT(I91,"$#,##0.00")&amp;" + labor "&amp;TEXT(I86,"$#,##0.00")&amp;" = COST "&amp;TEXT(I93,"$#,##0.00")&amp;"."</f>
        <v/>
      </c>
    </row>
    <row r="95" ht="15.75" customHeight="1" s="102"/>
    <row r="96" ht="21.75" customHeight="1" s="102">
      <c r="A96" s="115" t="inlineStr">
        <is>
          <t>SELL  (material markup 20%)</t>
        </is>
      </c>
    </row>
    <row r="97" ht="24" customHeight="1" s="102">
      <c r="A97" s="118" t="inlineStr">
        <is>
          <t>Material markup (×)</t>
        </is>
      </c>
      <c r="F97" s="134" t="n">
        <v>1.2</v>
      </c>
    </row>
    <row r="98" ht="15.75" customHeight="1" s="102">
      <c r="A98" s="118" t="inlineStr">
        <is>
          <t>Material (w/tax × markup)</t>
        </is>
      </c>
      <c r="I98" s="108">
        <f>I91*F97</f>
        <v/>
      </c>
    </row>
    <row r="99" ht="15.75" customHeight="1" s="102">
      <c r="A99" s="118" t="inlineStr">
        <is>
          <t>Labor (×2 baked in)</t>
        </is>
      </c>
      <c r="I99" s="108">
        <f>I86</f>
        <v/>
      </c>
    </row>
    <row r="100" ht="15.75" customHeight="1" s="102">
      <c r="A100" s="179" t="inlineStr">
        <is>
          <t>BID (sell)</t>
        </is>
      </c>
      <c r="B100" s="180" t="n"/>
      <c r="C100" s="180" t="n"/>
      <c r="D100" s="180" t="n"/>
      <c r="E100" s="180" t="n"/>
      <c r="F100" s="180" t="n"/>
      <c r="G100" s="180" t="n"/>
      <c r="H100" s="180" t="n"/>
      <c r="I100" s="181">
        <f>I98+I86</f>
        <v/>
      </c>
    </row>
    <row r="101" ht="15.75" customHeight="1" s="102">
      <c r="A101" s="116">
        <f>"Sell = material w/tax "&amp;TEXT(I91,"$#,##0.00")&amp;" × "&amp;F97&amp;" + labor "&amp;TEXT(I86,"$#,##0.00")&amp;" = BID "&amp;TEXT(I100,"$#,##0.00")&amp;"."</f>
        <v/>
      </c>
    </row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38">
    <mergeCell ref="A46:I46"/>
    <mergeCell ref="A66:I66"/>
    <mergeCell ref="A56:I56"/>
    <mergeCell ref="A50:I50"/>
    <mergeCell ref="A26:I26"/>
    <mergeCell ref="A101:I101"/>
    <mergeCell ref="A2:I2"/>
    <mergeCell ref="A5:I5"/>
    <mergeCell ref="A42:I42"/>
    <mergeCell ref="A32:I32"/>
    <mergeCell ref="A17:I17"/>
    <mergeCell ref="A23:I23"/>
    <mergeCell ref="A53:I53"/>
    <mergeCell ref="A22:I22"/>
    <mergeCell ref="A4:I4"/>
    <mergeCell ref="A62:I62"/>
    <mergeCell ref="A20:I20"/>
    <mergeCell ref="A38:I38"/>
    <mergeCell ref="A96:I96"/>
    <mergeCell ref="A81:I81"/>
    <mergeCell ref="A28:I28"/>
    <mergeCell ref="A44:I44"/>
    <mergeCell ref="A40:I40"/>
    <mergeCell ref="A9:I9"/>
    <mergeCell ref="A58:I58"/>
    <mergeCell ref="A34:I34"/>
    <mergeCell ref="A48:I48"/>
    <mergeCell ref="A30:I30"/>
    <mergeCell ref="A15:I15"/>
    <mergeCell ref="A64:I64"/>
    <mergeCell ref="A11:I11"/>
    <mergeCell ref="A60:I60"/>
    <mergeCell ref="A36:I36"/>
    <mergeCell ref="A1:I1"/>
    <mergeCell ref="A88:I88"/>
    <mergeCell ref="A94:I94"/>
    <mergeCell ref="A79:I79"/>
    <mergeCell ref="A69:I69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2026-09-01T01:03:33Z</dcterms:created>
  <dcterms:modified xmlns:dcterms="http://purl.org/dc/terms/" xmlns:xsi="http://www.w3.org/2001/XMLSchema-instance" xsi:type="dcterms:W3CDTF">2026-09-02T12:49:52Z</dcterms:modified>
  <cp:revision>0</cp:revision>
</cp:coreProperties>
</file>