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cia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\$#,##0.00"/>
    <numFmt numFmtId="166" formatCode="\$#,##0.00&quot;/LF&quot;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1155CC"/>
      <sz val="9"/>
    </font>
    <font>
      <sz val="10"/>
    </font>
    <font>
      <color rgb="000000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E599"/>
      </patternFill>
    </fill>
    <fill>
      <patternFill patternType="solid">
        <fgColor rgb="00C6EFCE"/>
      </patternFill>
    </fill>
    <fill>
      <patternFill patternType="solid">
        <fgColor rgb="00A9D0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2" fontId="3" fillId="0" borderId="0" pivotButton="0" quotePrefix="0" xfId="0"/>
    <xf numFmtId="0" fontId="5" fillId="0" borderId="0" pivotButton="0" quotePrefix="0" xfId="0"/>
    <xf numFmtId="164" fontId="3" fillId="0" borderId="0" pivotButton="0" quotePrefix="0" xfId="0"/>
    <xf numFmtId="165" fontId="4" fillId="0" borderId="0" pivotButton="0" quotePrefix="0" xfId="0"/>
    <xf numFmtId="165" fontId="3" fillId="0" borderId="0" pivotButton="0" quotePrefix="0" xfId="0"/>
    <xf numFmtId="0" fontId="5" fillId="4" borderId="0" pivotButton="0" quotePrefix="0" xfId="0"/>
    <xf numFmtId="0" fontId="0" fillId="4" borderId="0" pivotButton="0" quotePrefix="0" xfId="0"/>
    <xf numFmtId="165" fontId="5" fillId="4" borderId="0" pivotButton="0" quotePrefix="0" xfId="0"/>
    <xf numFmtId="0" fontId="5" fillId="5" borderId="0" pivotButton="0" quotePrefix="0" xfId="0"/>
    <xf numFmtId="0" fontId="0" fillId="5" borderId="0" pivotButton="0" quotePrefix="0" xfId="0"/>
    <xf numFmtId="166" fontId="5" fillId="5" borderId="0" pivotButton="0" quotePrefix="0" xfId="0"/>
    <xf numFmtId="165" fontId="5" fillId="5" borderId="0" pivotButton="0" quotePrefix="0" xfId="0"/>
    <xf numFmtId="0" fontId="3" fillId="5" borderId="0" pivotButton="0" quotePrefix="0" xfId="0"/>
    <xf numFmtId="165" fontId="3" fillId="5" borderId="0" pivotButton="0" quotePrefix="0" xfId="0"/>
    <xf numFmtId="0" fontId="3" fillId="4" borderId="0" pivotButton="0" quotePrefix="0" xfId="0"/>
    <xf numFmtId="165" fontId="3" fillId="4" borderId="0" pivotButton="0" quotePrefix="0" xfId="0"/>
    <xf numFmtId="0" fontId="3" fillId="6" borderId="0" pivotButton="0" quotePrefix="0" xfId="0"/>
    <xf numFmtId="0" fontId="0" fillId="6" borderId="0" pivotButton="0" quotePrefix="0" xfId="0"/>
    <xf numFmtId="165" fontId="3" fillId="6" borderId="0" pivotButton="0" quotePrefix="0" xfId="0"/>
    <xf numFmtId="166" fontId="5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workbookViewId="0">
      <selection activeCell="A1" sqref="A1"/>
    </sheetView>
  </sheetViews>
  <sheetFormatPr baseColWidth="8" defaultRowHeight="15" outlineLevelCol="0"/>
  <cols>
    <col width="46" customWidth="1" min="1" max="1"/>
    <col width="11" customWidth="1" min="2" max="2"/>
    <col width="14" customWidth="1" min="3" max="3"/>
    <col width="10" customWidth="1" min="4" max="4"/>
    <col width="12" customWidth="1" min="5" max="5"/>
    <col width="13" customWidth="1" min="6" max="6"/>
    <col width="8" customWidth="1" min="7" max="7"/>
  </cols>
  <sheetData>
    <row r="1">
      <c r="A1" s="1" t="inlineStr">
        <is>
          <t>SMS ROOFING  —  FASCIA METAL TEMPLATE  •  BLANK — TYPE THE JOB INTO THE BLUE CELLS</t>
        </is>
      </c>
    </row>
    <row r="2" ht="26" customHeight="1">
      <c r="A2" s="2" t="inlineStr">
        <is>
          <t>TAKEOFF first, then MATERIAL, then LABOR — and they check each other — then THE LEDGER. Green = labor · yellow = material w/tax · bright green = what I make. Blue numbers are the only inputs — change them and everything downstream follows.</t>
        </is>
      </c>
    </row>
    <row r="4">
      <c r="A4" s="1" t="inlineStr">
        <is>
          <t>1 · TAKEOFF — FEET &amp; SHEETS  (4′ × 10′ sheets, 22ga Kynar throughout)</t>
        </is>
      </c>
    </row>
    <row r="5">
      <c r="A5" s="1" t="inlineStr">
        <is>
          <t>Piece</t>
        </is>
      </c>
      <c r="B5" s="1" t="inlineStr">
        <is>
          <t>LF</t>
        </is>
      </c>
      <c r="C5" s="1" t="inlineStr">
        <is>
          <t>Stretch-out in</t>
        </is>
      </c>
      <c r="D5" s="1" t="inlineStr">
        <is>
          <t>LF/sheet</t>
        </is>
      </c>
      <c r="E5" s="1" t="inlineStr">
        <is>
          <t>Raw</t>
        </is>
      </c>
      <c r="F5" s="1" t="inlineStr">
        <is>
          <t>Sheets</t>
        </is>
      </c>
      <c r="G5" s="1" t="inlineStr">
        <is>
          <t>Face ″</t>
        </is>
      </c>
    </row>
    <row r="6">
      <c r="A6" s="3" t="inlineStr">
        <is>
          <t>Fascia size 1 — name it</t>
        </is>
      </c>
      <c r="B6" s="4" t="n">
        <v>0</v>
      </c>
      <c r="C6" s="4" t="n">
        <v>13.5</v>
      </c>
      <c r="D6" s="3">
        <f>FLOOR(48/C6,1)*10</f>
        <v/>
      </c>
      <c r="E6" s="5">
        <f>B6/D6</f>
        <v/>
      </c>
      <c r="F6" s="6">
        <f>ROUNDUP(E6,0)</f>
        <v/>
      </c>
      <c r="G6" s="4" t="n">
        <v>12</v>
      </c>
    </row>
    <row r="7" ht="15" customHeight="1">
      <c r="A7" s="2">
        <f>"12″ fascia plate: "&amp;TEXT(B6,"#,##0")&amp;"′ ÷ "&amp;D6&amp;" LF/sheet (48÷"&amp;TEXT(C6,"0.0")&amp;"″ = "&amp;FLOOR(48/C6,1)&amp;" strips ×10′) = "&amp;TEXT(E6,"0.00")&amp;" → "&amp;F6&amp;" sheets."</f>
        <v/>
      </c>
    </row>
    <row r="8">
      <c r="A8" s="3" t="inlineStr">
        <is>
          <t>Fascia size 2 — name it</t>
        </is>
      </c>
      <c r="B8" s="4" t="n">
        <v>0</v>
      </c>
      <c r="C8" s="4" t="n">
        <v>11.5</v>
      </c>
      <c r="D8" s="3">
        <f>FLOOR(48/C8,1)*10</f>
        <v/>
      </c>
      <c r="E8" s="5">
        <f>B8/D8</f>
        <v/>
      </c>
      <c r="F8" s="6">
        <f>ROUNDUP(E8,0)</f>
        <v/>
      </c>
      <c r="G8" s="4" t="n">
        <v>10</v>
      </c>
    </row>
    <row r="9" ht="15" customHeight="1">
      <c r="A9" s="2">
        <f>"10″ fascia plate: "&amp;TEXT(B8,"#,##0")&amp;"′ ÷ "&amp;D8&amp;" LF/sheet (48÷"&amp;TEXT(C8,"0.0")&amp;"″ = "&amp;FLOOR(48/C8,1)&amp;" strips ×10′) = "&amp;TEXT(E8,"0.00")&amp;" → "&amp;F8&amp;" sheets."</f>
        <v/>
      </c>
    </row>
    <row r="10">
      <c r="A10" s="3" t="inlineStr">
        <is>
          <t>Fascia size 3 — name it</t>
        </is>
      </c>
      <c r="B10" s="4" t="n">
        <v>0</v>
      </c>
      <c r="C10" s="4" t="n">
        <v>21.5</v>
      </c>
      <c r="D10" s="3">
        <f>FLOOR(48/C10,1)*10</f>
        <v/>
      </c>
      <c r="E10" s="5">
        <f>B10/D10</f>
        <v/>
      </c>
      <c r="F10" s="6">
        <f>ROUNDUP(E10,0)</f>
        <v/>
      </c>
      <c r="G10" s="4" t="n">
        <v>20</v>
      </c>
    </row>
    <row r="11" ht="15" customHeight="1">
      <c r="A11" s="2">
        <f>"20″ fascia plate: "&amp;TEXT(B10,"#,##0")&amp;"′ ÷ "&amp;D10&amp;" LF/sheet (48÷"&amp;TEXT(C10,"0.0")&amp;"″ = "&amp;FLOOR(48/C10,1)&amp;" strips ×10′) = "&amp;TEXT(E10,"0.00")&amp;" → "&amp;F10&amp;" sheets."</f>
        <v/>
      </c>
    </row>
    <row r="12">
      <c r="A12" s="3" t="inlineStr">
        <is>
          <t>Fascia cleat  (8″ — the same everywhere throughout)</t>
        </is>
      </c>
      <c r="B12" s="3">
        <f>B6+B8+B10</f>
        <v/>
      </c>
      <c r="C12" s="4" t="n">
        <v>8</v>
      </c>
      <c r="D12" s="3">
        <f>FLOOR(48/C12,1)*10</f>
        <v/>
      </c>
      <c r="E12" s="5">
        <f>B12/D12</f>
        <v/>
      </c>
      <c r="F12" s="6">
        <f>ROUNDUP(E12,0)</f>
        <v/>
      </c>
    </row>
    <row r="13" ht="15" customHeight="1">
      <c r="A13" s="2">
        <f>"Cleat runs every foot: "&amp;TEXT(B12,"#,##0")&amp;"′ ÷ "&amp;D12&amp;" LF/sheet (48÷"&amp;TEXT(C12,"0.0")&amp;"″ = "&amp;FLOOR(48/C12,1)&amp;" strips ×10′) = "&amp;TEXT(E12,"0.00")&amp;" → "&amp;F12&amp;" sheets."</f>
        <v/>
      </c>
    </row>
    <row r="14">
      <c r="A14" s="6" t="inlineStr">
        <is>
          <t>TOTAL FASCIA</t>
        </is>
      </c>
      <c r="B14" s="6">
        <f>B6+B8+B10</f>
        <v/>
      </c>
    </row>
    <row r="15">
      <c r="A15" s="3" t="inlineStr">
        <is>
          <t>Backer rod 3/8″  (2 rows on 10″ &amp; 12″ · 3 rows on 20″)</t>
        </is>
      </c>
      <c r="B15" s="3">
        <f>(B6+B8)*2+B10*3</f>
        <v/>
      </c>
      <c r="C15" s="3" t="inlineStr">
        <is>
          <t>LF of rod</t>
        </is>
      </c>
      <c r="D15" s="5">
        <f>B15/20</f>
        <v/>
      </c>
      <c r="E15" s="3" t="inlineStr">
        <is>
          <t>20′ rolls</t>
        </is>
      </c>
      <c r="F15" s="6">
        <f>ROUNDUP(B15/20,0)</f>
        <v/>
      </c>
    </row>
    <row r="16" ht="15" customHeight="1">
      <c r="A16" s="2">
        <f>"Backer rod: ("&amp;TEXT(B6,"#,##0")&amp;"+"&amp;TEXT(B8,"#,##0")&amp;")×2 rows + "&amp;TEXT(B10,"#,##0")&amp;"×3 rows = "&amp;TEXT(B15,"#,##0")&amp;"′ ÷ 20′ rolls → "&amp;F15&amp;" rolls. Goes in with the plate — no labor line."</f>
        <v/>
      </c>
    </row>
    <row r="17">
      <c r="A17" s="3" t="inlineStr">
        <is>
          <t>High-temp ice &amp; water — REAL face square feet</t>
        </is>
      </c>
      <c r="B17" s="7">
        <f>B6*G6/12+B8*G8/12+B10*G10/12</f>
        <v/>
      </c>
      <c r="C17" s="3" t="inlineStr">
        <is>
          <t>sf of fascia</t>
        </is>
      </c>
      <c r="D17" s="7">
        <f>B17*1.25</f>
        <v/>
      </c>
      <c r="E17" s="3" t="inlineStr">
        <is>
          <t>sf w/ waste</t>
        </is>
      </c>
      <c r="F17" s="6">
        <f>ROUNDUP(D17/(67*3),0)</f>
        <v/>
      </c>
    </row>
    <row r="18" ht="15" customHeight="1">
      <c r="A18" s="2">
        <f>"I&amp;W by square feet, not roll-lengths: "&amp;TEXT(B6,"#,##0")&amp;"′×"&amp;G6&amp;"″ + "&amp;TEXT(B8,"#,##0")&amp;"′×"&amp;G8&amp;"″ + "&amp;TEXT(B10,"#,##0")&amp;"′×"&amp;G10&amp;"″ faces = "&amp;TEXT(B17,"#,##0.0")&amp;" sf. × 1.25 waste = "&amp;TEXT(D17,"#,##0.0")&amp;" sf ÷ 201 sf/roll (67′×3′ ≈ 2 sq) → "&amp;F17&amp;" rolls."</f>
        <v/>
      </c>
    </row>
    <row r="19">
      <c r="A19" s="6">
        <f>IF(F17*201&gt;=D17,"✓ CHECK: buying "&amp;F17&amp;" rolls = "&amp;TEXT(F17*201,"#,##0")&amp;" sf against "&amp;TEXT(D17,"#,##0")&amp;" sf needed — covers.","✗ CHECK FAILED: "&amp;F17&amp;" rolls = "&amp;TEXT(F17*201,"#,##0")&amp;" sf is SHORT of the "&amp;TEXT(D17,"#,##0")&amp;" sf needed.")</f>
        <v/>
      </c>
    </row>
    <row r="21">
      <c r="A21" s="1" t="inlineStr">
        <is>
          <t>2 · MATERIAL PRICING — DOLLARS  (everything below is plus tax)</t>
        </is>
      </c>
    </row>
    <row r="22">
      <c r="A22" s="1" t="inlineStr">
        <is>
          <t>Material</t>
        </is>
      </c>
      <c r="B22" s="1" t="inlineStr">
        <is>
          <t>Qty</t>
        </is>
      </c>
      <c r="C22" s="1" t="inlineStr">
        <is>
          <t>Unit</t>
        </is>
      </c>
      <c r="D22" s="1" t="inlineStr">
        <is>
          <t>$ each</t>
        </is>
      </c>
      <c r="E22" s="1" t="inlineStr">
        <is>
          <t>Line</t>
        </is>
      </c>
      <c r="F22" s="1" t="inlineStr">
        <is>
          <t>TOTAL →</t>
        </is>
      </c>
    </row>
    <row r="23">
      <c r="A23" s="3" t="inlineStr">
        <is>
          <t>Fascia plate sheets (22ga Kynar)</t>
        </is>
      </c>
      <c r="B23" s="3">
        <f>F6+F8+F10</f>
        <v/>
      </c>
      <c r="C23" s="3" t="inlineStr">
        <is>
          <t>sheet</t>
        </is>
      </c>
      <c r="D23" s="8" t="n">
        <v>110</v>
      </c>
      <c r="E23" s="9">
        <f>B23*D23</f>
        <v/>
      </c>
    </row>
    <row r="24">
      <c r="A24" s="3" t="inlineStr">
        <is>
          <t>Cleat sheets (22ga Kynar)</t>
        </is>
      </c>
      <c r="B24" s="3">
        <f>F12</f>
        <v/>
      </c>
      <c r="C24" s="3" t="inlineStr">
        <is>
          <t>sheet</t>
        </is>
      </c>
      <c r="D24" s="8" t="n">
        <v>110</v>
      </c>
      <c r="E24" s="9">
        <f>B24*D24</f>
        <v/>
      </c>
    </row>
    <row r="25">
      <c r="A25" s="3" t="inlineStr">
        <is>
          <t>Backer rod 3/8″ (20′ roll)</t>
        </is>
      </c>
      <c r="B25" s="3">
        <f>F15</f>
        <v/>
      </c>
      <c r="C25" s="3" t="inlineStr">
        <is>
          <t>roll</t>
        </is>
      </c>
      <c r="D25" s="8" t="n">
        <v>4.51</v>
      </c>
      <c r="E25" s="9">
        <f>B25*D25</f>
        <v/>
      </c>
    </row>
    <row r="26">
      <c r="A26" s="3" t="inlineStr">
        <is>
          <t>High-temp ice &amp; water (67′×3′ roll)</t>
        </is>
      </c>
      <c r="B26" s="3">
        <f>F17</f>
        <v/>
      </c>
      <c r="C26" s="3" t="inlineStr">
        <is>
          <t>roll</t>
        </is>
      </c>
      <c r="D26" s="8" t="n">
        <v>130</v>
      </c>
      <c r="E26" s="9">
        <f>B26*D26</f>
        <v/>
      </c>
    </row>
    <row r="27">
      <c r="A27" s="3" t="inlineStr">
        <is>
          <t>Plastic caps</t>
        </is>
      </c>
      <c r="B27" s="4" t="n">
        <v>1</v>
      </c>
      <c r="C27" s="3" t="inlineStr">
        <is>
          <t>box</t>
        </is>
      </c>
      <c r="D27" s="8" t="n">
        <v>30</v>
      </c>
      <c r="E27" s="9">
        <f>B27*D27</f>
        <v/>
      </c>
    </row>
    <row r="28">
      <c r="A28" s="3" t="inlineStr">
        <is>
          <t>Delivery</t>
        </is>
      </c>
      <c r="B28" s="4" t="n">
        <v>1</v>
      </c>
      <c r="C28" s="3" t="inlineStr">
        <is>
          <t>trip</t>
        </is>
      </c>
      <c r="D28" s="8" t="n">
        <v>200</v>
      </c>
      <c r="E28" s="9">
        <f>B28*D28</f>
        <v/>
      </c>
    </row>
    <row r="29">
      <c r="A29" s="3" t="inlineStr">
        <is>
          <t>Material subtotal</t>
        </is>
      </c>
      <c r="F29" s="9">
        <f>E23+E24+E25+E26+E27+E28</f>
        <v/>
      </c>
    </row>
    <row r="30">
      <c r="A30" s="3" t="inlineStr">
        <is>
          <t>Sales tax (8.25% — material only, no tax on labor)</t>
        </is>
      </c>
      <c r="F30" s="9">
        <f>F29*0.0825</f>
        <v/>
      </c>
    </row>
    <row r="31">
      <c r="A31" s="10" t="inlineStr">
        <is>
          <t>MATERIAL TOTAL (w/ tax)</t>
        </is>
      </c>
      <c r="B31" s="11" t="n"/>
      <c r="C31" s="11" t="n"/>
      <c r="D31" s="11" t="n"/>
      <c r="E31" s="11" t="n"/>
      <c r="F31" s="12">
        <f>F29+F30</f>
        <v/>
      </c>
    </row>
    <row r="33">
      <c r="A33" s="1" t="inlineStr">
        <is>
          <t>3 · LABOR  (pieced up by size — it has to match the takeoff foot for foot)</t>
        </is>
      </c>
    </row>
    <row r="34">
      <c r="A34" s="1" t="inlineStr">
        <is>
          <t>Labor</t>
        </is>
      </c>
      <c r="B34" s="1" t="inlineStr">
        <is>
          <t>Qty</t>
        </is>
      </c>
      <c r="C34" s="1" t="inlineStr">
        <is>
          <t>Unit</t>
        </is>
      </c>
      <c r="D34" s="1" t="inlineStr">
        <is>
          <t>Rate</t>
        </is>
      </c>
      <c r="E34" s="1" t="inlineStr">
        <is>
          <t>Line</t>
        </is>
      </c>
      <c r="F34" s="1" t="inlineStr">
        <is>
          <t>TOTAL →</t>
        </is>
      </c>
    </row>
    <row r="35">
      <c r="A35" s="3" t="inlineStr">
        <is>
          <t>Size 1 plate install</t>
        </is>
      </c>
      <c r="B35" s="3">
        <f>B6</f>
        <v/>
      </c>
      <c r="C35" s="3" t="inlineStr">
        <is>
          <t>LF</t>
        </is>
      </c>
      <c r="D35" s="8" t="n">
        <v>10</v>
      </c>
      <c r="E35" s="9">
        <f>B35*D35</f>
        <v/>
      </c>
    </row>
    <row r="36">
      <c r="A36" s="3" t="inlineStr">
        <is>
          <t>Size 2 plate install</t>
        </is>
      </c>
      <c r="B36" s="3">
        <f>B8</f>
        <v/>
      </c>
      <c r="C36" s="3" t="inlineStr">
        <is>
          <t>LF</t>
        </is>
      </c>
      <c r="D36" s="8" t="n">
        <v>10</v>
      </c>
      <c r="E36" s="9">
        <f>B36*D36</f>
        <v/>
      </c>
    </row>
    <row r="37">
      <c r="A37" s="3" t="inlineStr">
        <is>
          <t>Size 3 plate install</t>
        </is>
      </c>
      <c r="B37" s="3">
        <f>B10</f>
        <v/>
      </c>
      <c r="C37" s="3" t="inlineStr">
        <is>
          <t>LF</t>
        </is>
      </c>
      <c r="D37" s="8" t="n">
        <v>10</v>
      </c>
      <c r="E37" s="9">
        <f>B37*D37</f>
        <v/>
      </c>
    </row>
    <row r="38">
      <c r="A38" s="3" t="inlineStr">
        <is>
          <t>Fascia cleat install (8″ cleat, the whole perimeter)</t>
        </is>
      </c>
      <c r="B38" s="3">
        <f>B14</f>
        <v/>
      </c>
      <c r="C38" s="3" t="inlineStr">
        <is>
          <t>LF</t>
        </is>
      </c>
      <c r="D38" s="8" t="n">
        <v>5</v>
      </c>
      <c r="E38" s="9">
        <f>B38*D38</f>
        <v/>
      </c>
    </row>
    <row r="39">
      <c r="A39" s="3" t="inlineStr">
        <is>
          <t>High-temp ice &amp; water install (real face area)</t>
        </is>
      </c>
      <c r="B39" s="3">
        <f>ROUND(B17/100,2)</f>
        <v/>
      </c>
      <c r="C39" s="3" t="inlineStr">
        <is>
          <t>sq</t>
        </is>
      </c>
      <c r="D39" s="8" t="n">
        <v>70</v>
      </c>
      <c r="E39" s="9">
        <f>B39*D39</f>
        <v/>
      </c>
    </row>
    <row r="40">
      <c r="A40" s="3" t="inlineStr">
        <is>
          <t>Shop fab — we make every sheet (plates + cleat)</t>
        </is>
      </c>
      <c r="B40" s="3">
        <f>F6+F8+F10+F12</f>
        <v/>
      </c>
      <c r="C40" s="3" t="inlineStr">
        <is>
          <t>sheet</t>
        </is>
      </c>
      <c r="D40" s="8" t="n">
        <v>40</v>
      </c>
      <c r="E40" s="9">
        <f>B40*D40</f>
        <v/>
      </c>
    </row>
    <row r="41">
      <c r="A41" s="13" t="inlineStr">
        <is>
          <t>LABOR TOTAL</t>
        </is>
      </c>
      <c r="B41" s="14" t="n"/>
      <c r="C41" s="14" t="n"/>
      <c r="D41" s="14" t="n"/>
      <c r="E41" s="15">
        <f>IF(B14=0,"",F41/B14)</f>
        <v/>
      </c>
      <c r="F41" s="16">
        <f>SUM(E35:E40)</f>
        <v/>
      </c>
    </row>
    <row r="42">
      <c r="A42" s="6">
        <f>IF(AND(B35+B36+B37=B14,B38=B14),"✓ CHECK: plate labor ("&amp;TEXT(B35+B36+B37,"#,##0")&amp;"′) and cleat labor ("&amp;TEXT(B38,"#,##0")&amp;"′) both match the takeoff — "&amp;TEXT(B14,"#,##0")&amp;"′, foot for foot.","✗ CHECK FAILED: labor feet do not match the takeoff feet — find out why before this goes anywhere.")</f>
        <v/>
      </c>
    </row>
    <row r="43" ht="26" customHeight="1">
      <c r="A43" s="2">
        <f>"Rates: plate $"&amp;TEXT(D35,"0")&amp;"/LF · cleat $"&amp;TEXT(D38,"0")&amp;"/LF · I&amp;W $"&amp;TEXT(D39,"0")&amp;"/sq on the real "&amp;TEXT(B39,"0.0")&amp;" sq · fab $"&amp;TEXT(D40,"0")&amp;"/sheet × "&amp;TEXT(B40,"0")&amp;" sheets. Backer rod and caps go in with the work — no labor lines on them (Adam 9/1)."</f>
        <v/>
      </c>
    </row>
    <row r="45">
      <c r="A45" s="1" t="inlineStr">
        <is>
          <t>4 · FASCIA — THE LEDGER</t>
        </is>
      </c>
      <c r="B45" s="1" t="inlineStr"/>
      <c r="C45" s="1" t="inlineStr"/>
      <c r="D45" s="1" t="inlineStr"/>
      <c r="E45" s="1" t="inlineStr">
        <is>
          <t>$ / LF</t>
        </is>
      </c>
      <c r="F45" s="1" t="inlineStr">
        <is>
          <t>TOTAL →</t>
        </is>
      </c>
      <c r="G45" s="1" t="inlineStr"/>
    </row>
    <row r="46">
      <c r="A46" s="17" t="inlineStr">
        <is>
          <t>Labor</t>
        </is>
      </c>
      <c r="B46" s="14" t="n"/>
      <c r="C46" s="14" t="n"/>
      <c r="D46" s="14" t="n"/>
      <c r="E46" s="14" t="n"/>
      <c r="F46" s="18">
        <f>F41</f>
        <v/>
      </c>
    </row>
    <row r="47">
      <c r="A47" s="19" t="inlineStr">
        <is>
          <t>Material (w/ tax)</t>
        </is>
      </c>
      <c r="B47" s="11" t="n"/>
      <c r="C47" s="11" t="n"/>
      <c r="D47" s="11" t="n"/>
      <c r="E47" s="11" t="n"/>
      <c r="F47" s="20">
        <f>F31</f>
        <v/>
      </c>
    </row>
    <row r="48">
      <c r="A48" s="21" t="inlineStr">
        <is>
          <t>Markup (20% on material — what I make)</t>
        </is>
      </c>
      <c r="B48" s="22" t="n"/>
      <c r="C48" s="22" t="n"/>
      <c r="D48" s="22" t="n"/>
      <c r="E48" s="22" t="n"/>
      <c r="F48" s="23">
        <f>F31*0.2</f>
        <v/>
      </c>
    </row>
    <row r="49">
      <c r="A49" s="6" t="inlineStr">
        <is>
          <t>FASCIA TOTAL</t>
        </is>
      </c>
      <c r="E49" s="24">
        <f>IF(B14=0,"",F49/B14)</f>
        <v/>
      </c>
      <c r="F49" s="25">
        <f>F46+F47+F48</f>
        <v/>
      </c>
    </row>
    <row r="50" ht="20" customHeight="1">
      <c r="A50" s="2">
        <f>"Gorman fascia: labor "&amp;TEXT(F46,"$#,##0.00")&amp;" + material w/tax "&amp;TEXT(F47,"$#,##0.00")&amp;" + markup "&amp;TEXT(F48,"$#,##0.00")&amp;" = "&amp;TEXT(F49,"$#,##0.00")&amp;"  ÷ "&amp;TEXT(B14,"#,##0")&amp;"′ = "&amp;TEXT(E49,"$#,##0.00")&amp;"/LF."</f>
        <v/>
      </c>
    </row>
  </sheetData>
  <mergeCells count="15">
    <mergeCell ref="A13:G13"/>
    <mergeCell ref="A33:G33"/>
    <mergeCell ref="A1:G1"/>
    <mergeCell ref="A9:G9"/>
    <mergeCell ref="A18:G18"/>
    <mergeCell ref="A21:G21"/>
    <mergeCell ref="A50:G50"/>
    <mergeCell ref="A4:G4"/>
    <mergeCell ref="A2:G2"/>
    <mergeCell ref="A16:G16"/>
    <mergeCell ref="A7:G7"/>
    <mergeCell ref="A43:G43"/>
    <mergeCell ref="A19:G19"/>
    <mergeCell ref="A11:G11"/>
    <mergeCell ref="A42:G4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2026-09-01T23:44:08Z</dcterms:created>
  <dcterms:modified xmlns:dcterms="http://purl.org/dc/terms/" xmlns:xsi="http://www.w3.org/2001/XMLSchema-instance" xsi:type="dcterms:W3CDTF">2026-09-01T23:44:08Z</dcterms:modified>
</cp:coreProperties>
</file>