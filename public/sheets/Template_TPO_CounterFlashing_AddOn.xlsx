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 Flashing Add-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&quot;($&quot;#,##0.00\);\-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0000CC"/>
    </font>
    <font>
      <b val="1"/>
      <color rgb="000000FF"/>
    </font>
    <font>
      <i val="1"/>
      <color rgb="00595959"/>
    </font>
    <font>
      <color rgb="00000000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top" wrapText="1"/>
    </xf>
    <xf numFmtId="3" fontId="3" fillId="4" borderId="0" pivotButton="0" quotePrefix="0" xfId="0"/>
    <xf numFmtId="0" fontId="4" fillId="0" borderId="0" pivotButton="0" quotePrefix="0" xfId="0"/>
    <xf numFmtId="1" fontId="3" fillId="4" borderId="0" pivotButton="0" quotePrefix="0" xfId="0"/>
    <xf numFmtId="164" fontId="3" fillId="4" borderId="0" pivotButton="0" quotePrefix="0" xfId="0"/>
    <xf numFmtId="10" fontId="3" fillId="0" borderId="0" pivotButton="0" quotePrefix="0" xfId="0"/>
    <xf numFmtId="9" fontId="3" fillId="4" borderId="0" pivotButton="0" quotePrefix="0" xfId="0"/>
    <xf numFmtId="164" fontId="3" fillId="0" borderId="0" pivotButton="0" quotePrefix="0" xfId="0"/>
    <xf numFmtId="9" fontId="3" fillId="0" borderId="0" pivotButton="0" quotePrefix="0" xfId="0"/>
    <xf numFmtId="164" fontId="5" fillId="0" borderId="0" pivotButton="0" quotePrefix="0" xfId="0"/>
    <xf numFmtId="1" fontId="5" fillId="0" borderId="0" pivotButton="0" quotePrefix="0" xfId="0"/>
    <xf numFmtId="0" fontId="7" fillId="5" borderId="0" pivotButton="0" quotePrefix="0" xfId="0"/>
    <xf numFmtId="164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90" customWidth="1" min="3" max="3"/>
  </cols>
  <sheetData>
    <row r="1">
      <c r="A1" s="1" t="inlineStr">
        <is>
          <t>ADD-ON  —  COUNTER FLASHING OVER THE TERM BAR</t>
        </is>
      </c>
      <c r="B1" s="2" t="n"/>
      <c r="C1" s="2" t="n"/>
    </row>
    <row r="2" ht="45" customHeight="1">
      <c r="A2" s="3" t="inlineStr">
        <is>
          <t>Runs beside any TPO bid. The base bid is unchanged; this sheet prices the counter flashing option only. THE rule: when counter flashing goes on, the term bar anchors drop from 6 in. to 12 in. on center (1 per foot instead of 2) — that saving comes off this add-on. Pulled out of the Liberty Retail Center bid, 9/25/26.</t>
        </is>
      </c>
    </row>
    <row r="4">
      <c r="A4" s="1" t="inlineStr">
        <is>
          <t>INPUTS  —  blue cells, type here</t>
        </is>
      </c>
      <c r="B4" s="2" t="n"/>
      <c r="C4" s="2" t="n"/>
    </row>
    <row r="5">
      <c r="A5" t="inlineStr">
        <is>
          <t>Counter flashing  —  LF</t>
        </is>
      </c>
      <c r="B5" s="4" t="n"/>
      <c r="C5" s="5" t="inlineStr">
        <is>
          <t>wall length that gets counter flashing</t>
        </is>
      </c>
    </row>
    <row r="6">
      <c r="A6" t="inlineStr">
        <is>
          <t>Stretch-out (in)</t>
        </is>
      </c>
      <c r="B6" s="6" t="n"/>
      <c r="C6" s="5" t="inlineStr">
        <is>
          <t>asked fresh every job</t>
        </is>
      </c>
    </row>
    <row r="7">
      <c r="A7" t="inlineStr">
        <is>
          <t>Metal  $ per sheet  (4x10)</t>
        </is>
      </c>
      <c r="B7" s="7" t="n"/>
      <c r="C7" s="5" t="inlineStr">
        <is>
          <t>the flat sheet price for this job</t>
        </is>
      </c>
    </row>
    <row r="8">
      <c r="A8" t="inlineStr">
        <is>
          <t>Sales tax  (material only)</t>
        </is>
      </c>
      <c r="B8" s="8" t="n">
        <v>0.0825</v>
      </c>
      <c r="C8" s="5" t="inlineStr">
        <is>
          <t>8.25% — material only, never labor</t>
        </is>
      </c>
    </row>
    <row r="9">
      <c r="A9" t="inlineStr">
        <is>
          <t>Material markup</t>
        </is>
      </c>
      <c r="B9" s="9" t="n"/>
      <c r="C9" s="5" t="inlineStr">
        <is>
          <t>same markup as the base bid — set per job</t>
        </is>
      </c>
    </row>
    <row r="10">
      <c r="A10" t="inlineStr">
        <is>
          <t>Shop fab  $ per sheet</t>
        </is>
      </c>
      <c r="B10" s="10" t="n">
        <v>40</v>
      </c>
      <c r="C10" s="5" t="inlineStr">
        <is>
          <t>every sheet of flat metal gets $40 a sheet fab</t>
        </is>
      </c>
    </row>
    <row r="11">
      <c r="A11" t="inlineStr">
        <is>
          <t>Wage per man / day</t>
        </is>
      </c>
      <c r="B11" s="10" t="n">
        <v>270</v>
      </c>
    </row>
    <row r="12">
      <c r="A12" t="inlineStr">
        <is>
          <t>Overhead margin</t>
        </is>
      </c>
      <c r="B12" s="11" t="n">
        <v>0.5</v>
      </c>
    </row>
    <row r="13">
      <c r="A13" t="inlineStr">
        <is>
          <t>COST PER MAN / DAY</t>
        </is>
      </c>
      <c r="B13" s="12">
        <f>IFERROR(IF(N(B12)=0,"",N(B11)/N(B12)),"")</f>
        <v/>
      </c>
    </row>
    <row r="14" ht="15" customHeight="1">
      <c r="A14" s="3">
        <f>"Overhead is a margin, so it DIVIDES:  "&amp;TEXT(N(B11),"$#,##0")&amp;" ÷ "&amp;TEXT(N(B12),"0%")&amp;" = "&amp;TEXT(N(B13),"$#,##0")&amp;" per man per day"</f>
        <v/>
      </c>
    </row>
    <row r="15">
      <c r="A15" t="inlineStr">
        <is>
          <t>Install crew  —  men</t>
        </is>
      </c>
      <c r="B15" s="6" t="n"/>
    </row>
    <row r="16">
      <c r="A16" t="inlineStr">
        <is>
          <t>Install crew  —  feet per day</t>
        </is>
      </c>
      <c r="B16" s="4" t="n"/>
    </row>
    <row r="17">
      <c r="A17" t="inlineStr">
        <is>
          <t>Term bar on the base bid  —  LF</t>
        </is>
      </c>
      <c r="B17" s="4" t="n"/>
      <c r="C17" s="5" t="inlineStr">
        <is>
          <t>usually the same as the counter flashing LF</t>
        </is>
      </c>
    </row>
    <row r="18">
      <c r="A18" t="inlineStr">
        <is>
          <t>Term bar anchors  $ per box of 1000</t>
        </is>
      </c>
      <c r="B18" s="7" t="n"/>
      <c r="C18" s="5" t="inlineStr">
        <is>
          <t>e.g. zinc masonry anchor 1/4" x 1-1/4"</t>
        </is>
      </c>
    </row>
    <row r="20">
      <c r="A20" s="1" t="inlineStr">
        <is>
          <t>THE ADD-ON</t>
        </is>
      </c>
      <c r="B20" s="2" t="n"/>
      <c r="C20" s="2" t="n"/>
    </row>
    <row r="21">
      <c r="A21" t="inlineStr">
        <is>
          <t>Sheets</t>
        </is>
      </c>
      <c r="B21" s="13">
        <f>IFERROR(IF(OR(N(B5)=0,N(B6)=0),"",ROUNDUP(N(B5)/(ROUNDDOWN(48/N(B6),0)*10),0)),"")</f>
        <v/>
      </c>
      <c r="C21" s="5">
        <f>"48 ÷ "&amp;TEXT(N(B6),"0")&amp;" in. = "&amp;TEXT(IFERROR(ROUNDDOWN(48/N(B6),0),0),"0")&amp;" strips x 10 ft = "&amp;TEXT(IFERROR(ROUNDDOWN(48/N(B6),0)*10,0),"0")&amp;" ft a sheet.   "&amp;TEXT(N(B5),"#,##0")&amp;" ft ÷ that, rounded UP = "&amp;TEXT(N(B21),"0")&amp;" sheets"</f>
        <v/>
      </c>
    </row>
    <row r="22">
      <c r="A22" t="inlineStr">
        <is>
          <t>Metal</t>
        </is>
      </c>
      <c r="B22" s="12">
        <f>IFERROR(N(B21)*N(B7),"")</f>
        <v/>
      </c>
      <c r="C22" s="5" t="inlineStr">
        <is>
          <t>sheets x $ per sheet</t>
        </is>
      </c>
    </row>
    <row r="23">
      <c r="A23" t="inlineStr">
        <is>
          <t>Sales tax (material only)</t>
        </is>
      </c>
      <c r="B23" s="12">
        <f>IFERROR(N(B22)*N(B8),"")</f>
        <v/>
      </c>
    </row>
    <row r="24">
      <c r="A24" t="inlineStr">
        <is>
          <t>Markup on the material</t>
        </is>
      </c>
      <c r="B24" s="12">
        <f>IFERROR((N(B22)+N(B23))*N(B9),"")</f>
        <v/>
      </c>
      <c r="C24" s="5" t="inlineStr">
        <is>
          <t>on metal + tax</t>
        </is>
      </c>
    </row>
    <row r="25">
      <c r="A25" t="inlineStr">
        <is>
          <t>Shop fab</t>
        </is>
      </c>
      <c r="B25" s="12">
        <f>IFERROR(N(B21)*N(B10),"")</f>
        <v/>
      </c>
      <c r="C25" s="5">
        <f>TEXT(N(B21),"0")&amp;" sheets x "&amp;TEXT(N(B10),"$#,##0")</f>
        <v/>
      </c>
    </row>
    <row r="26">
      <c r="A26" t="inlineStr">
        <is>
          <t>Install labor</t>
        </is>
      </c>
      <c r="B26" s="12">
        <f>IFERROR(IF(N(B16)=0,"",N(B15)*N(B13)*N(B5)/N(B16)),"")</f>
        <v/>
      </c>
      <c r="C26" s="5">
        <f>TEXT(N(B15),"0")&amp;" men x "&amp;TEXT(N(B13),"$#,##0")&amp;" a man a day x ("&amp;TEXT(N(B5),"#,##0")&amp;" ft ÷ "&amp;TEXT(N(B16),"#,##0")&amp;" ft a day = "&amp;TEXT(IFERROR(N(B5)/N(B16),0),"0.0")&amp;" days)"</f>
        <v/>
      </c>
    </row>
    <row r="27">
      <c r="A27" t="inlineStr">
        <is>
          <t>Term bar anchors saved  (12 in. o.c. instead of 6 in.)</t>
        </is>
      </c>
      <c r="B27" s="12">
        <f>IFERROR(-(ROUNDUP(N(B17)*2/1000,0)-ROUNDUP(N(B17)/1000,0))*N(B18)*(1+N(B8))*(1+N(B9)),"")</f>
        <v/>
      </c>
      <c r="C27" s="5">
        <f>"base bid buys "&amp;TEXT(ROUNDUP(N(B17)*2/1000,0),"0")&amp;" boxes at 6 in. (2 a foot); with counter flashing it needs "&amp;TEXT(ROUNDUP(N(B17)/1000,0),"0")&amp;" at 12 in. — the difference comes off, with tax and markup"</f>
        <v/>
      </c>
    </row>
    <row r="28">
      <c r="A28" s="14" t="inlineStr">
        <is>
          <t>COUNTER FLASHING ADD-ON  —  ADD</t>
        </is>
      </c>
      <c r="B28" s="15">
        <f>IFERROR(N(B22)+N(B23)+N(B24)+N(B25)+N(B26)+N(B27),"")</f>
        <v/>
      </c>
    </row>
    <row r="29">
      <c r="A29" t="inlineStr">
        <is>
          <t>Add per LF</t>
        </is>
      </c>
      <c r="B29" s="12">
        <f>IFERROR(IF(N(B5)=0,"",N(B28)/N(B5)),"")</f>
        <v/>
      </c>
    </row>
    <row r="31" ht="30" customHeight="1">
      <c r="A31" s="3" t="inlineStr">
        <is>
          <t>Send it as:  "Additional option: fabricate and install 24 g ______ counter flashing over the termination bar can be accomplished for an additional $______"  (copy the ADD number). Nothing on the base bid moves.</t>
        </is>
      </c>
    </row>
  </sheetData>
  <mergeCells count="3">
    <mergeCell ref="A31:C31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2026-09-26T01:41:02Z</dcterms:created>
  <dcterms:modified xmlns:dcterms="http://purl.org/dc/terms/" xmlns:xsi="http://www.w3.org/2001/XMLSchema-instance" xsi:type="dcterms:W3CDTF">2026-09-26T01:41:02Z</dcterms:modified>
</cp:coreProperties>
</file>