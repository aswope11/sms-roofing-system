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Existing" sheetId="2" state="visible" r:id="rId2"/>
    <sheet xmlns:r="http://schemas.openxmlformats.org/officeDocument/2006/relationships" name="Takeoff" sheetId="3" state="visible" r:id="rId3"/>
    <sheet xmlns:r="http://schemas.openxmlformats.org/officeDocument/2006/relationships" name="Material Order" sheetId="4" state="visible" r:id="rId4"/>
    <sheet xmlns:r="http://schemas.openxmlformats.org/officeDocument/2006/relationships" name="TPO Labor" sheetId="5" state="visible" r:id="rId5"/>
    <sheet xmlns:r="http://schemas.openxmlformats.org/officeDocument/2006/relationships" name="Metal Labor" sheetId="6" state="visible" r:id="rId6"/>
    <sheet xmlns:r="http://schemas.openxmlformats.org/officeDocument/2006/relationships" name="Totals" sheetId="7" state="visible" r:id="rId7"/>
    <sheet xmlns:r="http://schemas.openxmlformats.org/officeDocument/2006/relationships" name="Bid Products" sheetId="8" state="visible" r:id="rId8"/>
    <sheet xmlns:r="http://schemas.openxmlformats.org/officeDocument/2006/relationships" name="Plan Reference" sheetId="9" state="visible" r:id="rId9"/>
    <sheet xmlns:r="http://schemas.openxmlformats.org/officeDocument/2006/relationships" name="Material Takeoff" sheetId="10" state="visible" r:id="rId10"/>
    <sheet xmlns:r="http://schemas.openxmlformats.org/officeDocument/2006/relationships" name="Lists" sheetId="11" state="visible" r:id="rId11"/>
  </sheets>
  <definedNames>
    <definedName name="_xlnm.Print_Area" localSheetId="6">'Totals'!$A$1:$C$39</definedName>
  </definedNames>
  <calcPr calcId="124519" fullCalcOnLoad="1" refMode="A1" iterate="0" iterateCount="100" iterateDelta="0.0001"/>
</workbook>
</file>

<file path=xl/styles.xml><?xml version="1.0" encoding="utf-8"?>
<styleSheet xmlns="http://schemas.openxmlformats.org/spreadsheetml/2006/main">
  <numFmts count="9">
    <numFmt numFmtId="164" formatCode="0.0"/>
    <numFmt numFmtId="165" formatCode="#,##0.###"/>
    <numFmt numFmtId="166" formatCode="#,##0.##"/>
    <numFmt numFmtId="167" formatCode="\+#,##0.##;\-#,##0.##;0"/>
    <numFmt numFmtId="168" formatCode="\+#,##0.00;\-#,##0.00;0.00"/>
    <numFmt numFmtId="169" formatCode="0.0%"/>
    <numFmt numFmtId="170" formatCode="\$#,##0.00;&quot;($&quot;#,##0.00\);\-"/>
    <numFmt numFmtId="171" formatCode="#,##0.0"/>
    <numFmt numFmtId="172" formatCode="&quot;$&quot;#,##0.00"/>
  </numFmts>
  <fonts count="6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2"/>
    </font>
    <font>
      <name val="Arial"/>
      <charset val="1"/>
      <family val="0"/>
      <i val="1"/>
      <color rgb="FF0000CC"/>
      <sz val="9"/>
    </font>
    <font>
      <name val="Arial"/>
      <charset val="1"/>
      <family val="0"/>
      <b val="1"/>
      <color rgb="FF1F3864"/>
      <sz val="10"/>
    </font>
    <font>
      <name val="Arial"/>
      <charset val="1"/>
      <family val="0"/>
      <b val="1"/>
      <color rgb="FF000000"/>
      <sz val="10"/>
    </font>
    <font>
      <name val="Arial"/>
      <charset val="1"/>
      <family val="0"/>
      <color rgb="FF000000"/>
      <sz val="10"/>
    </font>
    <font>
      <name val="Arial"/>
      <charset val="1"/>
      <family val="0"/>
      <b val="1"/>
      <color rgb="FF0000CC"/>
      <sz val="10"/>
    </font>
    <font>
      <name val="Arial"/>
      <charset val="1"/>
      <family val="0"/>
      <b val="1"/>
      <color rgb="FF008000"/>
      <sz val="10"/>
    </font>
    <font>
      <name val="Arial"/>
      <charset val="1"/>
      <family val="0"/>
      <b val="1"/>
      <color rgb="FFCC0000"/>
      <sz val="10"/>
    </font>
    <font>
      <name val="Arial"/>
      <charset val="1"/>
      <family val="0"/>
      <b val="1"/>
      <color rgb="FFFFFFFF"/>
      <sz val="11"/>
    </font>
    <font>
      <name val="Arial"/>
      <charset val="1"/>
      <family val="0"/>
      <i val="1"/>
      <color rgb="FF595959"/>
      <sz val="9"/>
    </font>
    <font>
      <name val="Arial"/>
      <charset val="1"/>
      <family val="0"/>
      <b val="1"/>
      <color rgb="FFFFFFFF"/>
      <sz val="10"/>
    </font>
    <font>
      <name val="Arial"/>
      <charset val="1"/>
      <family val="0"/>
      <b val="1"/>
      <color rgb="FFFFFFFF"/>
      <sz val="9"/>
    </font>
    <font>
      <name val="Arial"/>
      <charset val="1"/>
      <family val="0"/>
      <sz val="10"/>
    </font>
    <font>
      <name val="Arial"/>
      <charset val="1"/>
      <family val="0"/>
      <color rgb="FF0000FF"/>
      <sz val="10"/>
    </font>
    <font>
      <name val="Arial"/>
      <charset val="1"/>
      <family val="0"/>
      <color rgb="FF595959"/>
      <sz val="9"/>
    </font>
    <font>
      <name val="Arial"/>
      <charset val="1"/>
      <family val="0"/>
      <b val="1"/>
      <sz val="10"/>
    </font>
    <font>
      <name val="Arial"/>
      <charset val="1"/>
      <family val="0"/>
      <color rgb="FF008000"/>
      <sz val="10"/>
    </font>
    <font>
      <name val="Arial"/>
      <charset val="1"/>
      <family val="0"/>
      <b val="1"/>
      <color rgb="FF595959"/>
      <sz val="9"/>
    </font>
    <font>
      <name val="Arial"/>
      <charset val="1"/>
      <family val="0"/>
      <color rgb="FF0000CC"/>
      <sz val="10"/>
    </font>
    <font>
      <name val="Arial"/>
      <charset val="1"/>
      <family val="0"/>
      <b val="1"/>
      <color rgb="FF9C0006"/>
      <sz val="10"/>
    </font>
    <font>
      <name val="Arial"/>
      <charset val="1"/>
      <family val="0"/>
      <color rgb="FFCC0000"/>
      <sz val="10"/>
    </font>
    <font>
      <name val="Arial"/>
      <charset val="1"/>
      <family val="0"/>
      <b val="1"/>
      <i val="1"/>
      <color rgb="FF9C0006"/>
      <sz val="9"/>
    </font>
    <font>
      <name val="Arial"/>
      <charset val="1"/>
      <family val="0"/>
      <i val="1"/>
      <color rgb="FF808080"/>
      <sz val="10"/>
    </font>
    <font>
      <name val="Arial"/>
      <charset val="1"/>
      <family val="0"/>
      <i val="1"/>
      <color rgb="FF1F3864"/>
      <sz val="9"/>
    </font>
    <font>
      <name val="Arial"/>
      <charset val="1"/>
      <family val="0"/>
      <b val="1"/>
      <i val="1"/>
      <color rgb="FF7F6000"/>
      <sz val="9"/>
    </font>
    <font>
      <name val="Arial"/>
      <charset val="1"/>
      <family val="0"/>
      <color rgb="FF375623"/>
      <sz val="10"/>
    </font>
    <font>
      <name val="Arial"/>
      <charset val="1"/>
      <family val="0"/>
      <i val="1"/>
      <color rgb="FF375623"/>
      <sz val="9"/>
    </font>
    <font>
      <name val="Arial"/>
      <charset val="1"/>
      <family val="0"/>
      <color rgb="FF0000FF"/>
      <sz val="11"/>
    </font>
    <font>
      <name val="Arial"/>
      <sz val="10"/>
    </font>
    <font>
      <name val="Arial"/>
      <color rgb="FF0000FF"/>
      <sz val="10"/>
    </font>
    <font>
      <name val="Arial"/>
      <color rgb="FF595959"/>
      <sz val="9"/>
    </font>
    <font>
      <name val="Arial"/>
      <i val="1"/>
      <color rgb="FF595959"/>
      <sz val="9"/>
    </font>
    <font>
      <name val="Arial"/>
      <color rgb="FF000000"/>
      <sz val="10"/>
    </font>
    <font>
      <name val="Arial"/>
      <b val="1"/>
      <color rgb="FFFFFFFF"/>
      <sz val="9"/>
    </font>
    <font>
      <name val="Arial"/>
      <color rgb="FF008000"/>
      <sz val="10"/>
    </font>
    <font>
      <name val="Arial"/>
      <b val="1"/>
      <sz val="10"/>
    </font>
    <font>
      <name val="Arial"/>
      <b val="1"/>
      <color rgb="FFFFFFFF"/>
      <sz val="11"/>
    </font>
    <font>
      <name val="Arial"/>
      <i val="1"/>
      <color rgb="FF0000CC"/>
      <sz val="9"/>
    </font>
    <font>
      <name val="Arial"/>
      <b val="1"/>
      <color rgb="FF1F3864"/>
      <sz val="10"/>
    </font>
    <font>
      <name val="Arial"/>
      <b val="1"/>
      <color rgb="FF595959"/>
      <sz val="9"/>
    </font>
    <font>
      <name val="Arial"/>
      <color rgb="FFCC0000"/>
      <sz val="10"/>
    </font>
    <font>
      <name val="Arial"/>
      <b val="1"/>
      <color rgb="FF000000"/>
      <sz val="10"/>
    </font>
    <font>
      <name val="Arial"/>
      <b val="1"/>
      <sz val="11"/>
    </font>
    <font>
      <name val="Arial"/>
      <b val="1"/>
      <color rgb="FF12314F"/>
      <sz val="10"/>
    </font>
    <font>
      <name val="Arial"/>
      <b val="1"/>
      <color rgb="FF12314F"/>
      <sz val="9"/>
    </font>
    <font>
      <name val="Arial"/>
      <b val="1"/>
      <color rgb="FFFFFFFF"/>
      <sz val="12"/>
    </font>
    <font>
      <name val="Arial"/>
      <b val="1"/>
      <color rgb="FF1F3864"/>
      <sz val="11"/>
    </font>
    <font>
      <name val="Arial"/>
      <b val="1"/>
      <color rgb="FF375623"/>
      <sz val="9"/>
    </font>
    <font>
      <name val="Arial"/>
      <b val="1"/>
      <color rgb="FF000000"/>
      <sz val="11"/>
    </font>
    <font>
      <name val="Arial"/>
      <b val="1"/>
      <color rgb="FF000000"/>
      <sz val="12"/>
    </font>
    <font>
      <name val="Arial"/>
      <color rgb="FF375623"/>
      <sz val="9"/>
    </font>
    <font>
      <name val="Arial"/>
      <b val="1"/>
      <color rgb="FF375623"/>
      <sz val="10"/>
    </font>
    <font>
      <b val="1"/>
      <color rgb="00FFFFFF"/>
      <sz val="10"/>
    </font>
    <font>
      <b val="1"/>
      <color rgb="001F3864"/>
      <sz val="10"/>
    </font>
    <font>
      <name val="Arial"/>
      <b val="1"/>
      <color rgb="00FFFFFF"/>
      <sz val="12"/>
    </font>
    <font>
      <name val="Arial"/>
      <i val="1"/>
      <color rgb="00555555"/>
      <sz val="9"/>
    </font>
    <font>
      <name val="Arial"/>
      <b val="1"/>
      <color rgb="001F3864"/>
      <sz val="11"/>
    </font>
    <font>
      <name val="Arial"/>
      <color rgb="00000000"/>
      <sz val="10"/>
    </font>
    <font>
      <name val="Arial"/>
      <b val="1"/>
      <color rgb="00000000"/>
      <sz val="10"/>
    </font>
    <font>
      <name val="Arial"/>
      <b val="1"/>
      <color rgb="00FFFFFF"/>
      <sz val="9"/>
    </font>
    <font>
      <name val="Arial"/>
      <b val="1"/>
      <color rgb="00555555"/>
      <sz val="9"/>
    </font>
    <font>
      <name val="Arial"/>
      <b val="1"/>
      <color rgb="001F3864"/>
      <sz val="12"/>
    </font>
    <font>
      <name val="Arial"/>
      <b val="1"/>
      <sz val="13"/>
    </font>
    <font>
      <name val="Arial"/>
      <b val="1"/>
      <color rgb="001F3864"/>
      <sz val="10"/>
    </font>
    <font>
      <name val="Arial"/>
      <b val="1"/>
      <i val="1"/>
      <color rgb="00C00000"/>
      <sz val="9"/>
    </font>
  </fonts>
  <fills count="38">
    <fill>
      <patternFill/>
    </fill>
    <fill>
      <patternFill patternType="gray125"/>
    </fill>
    <fill>
      <patternFill patternType="solid">
        <fgColor rgb="FF1F3864"/>
        <bgColor rgb="FF12314F"/>
      </patternFill>
    </fill>
    <fill>
      <patternFill patternType="solid">
        <fgColor rgb="FFDCE6F1"/>
        <bgColor rgb="FFDEEBF7"/>
      </patternFill>
    </fill>
    <fill>
      <patternFill patternType="solid">
        <fgColor rgb="FFBDD7EE"/>
        <bgColor rgb="FFDCE6F1"/>
      </patternFill>
    </fill>
    <fill>
      <patternFill patternType="solid">
        <fgColor rgb="FFFFF2CC"/>
        <bgColor rgb="FFFDF3D8"/>
      </patternFill>
    </fill>
    <fill>
      <patternFill patternType="solid">
        <fgColor rgb="FF12314F"/>
        <bgColor rgb="FF1F3864"/>
      </patternFill>
    </fill>
    <fill>
      <patternFill patternType="solid">
        <fgColor rgb="FFDCEFEA"/>
        <bgColor rgb="FFDEEBF7"/>
      </patternFill>
    </fill>
    <fill>
      <patternFill patternType="solid">
        <fgColor rgb="FF2E5496"/>
        <bgColor rgb="FF1F3864"/>
      </patternFill>
    </fill>
    <fill>
      <patternFill patternType="solid">
        <fgColor rgb="FF404040"/>
        <bgColor rgb="FF375623"/>
      </patternFill>
    </fill>
    <fill>
      <patternFill patternType="solid">
        <fgColor rgb="FFEAF0FB"/>
        <bgColor rgb="FFEDEDED"/>
      </patternFill>
    </fill>
    <fill>
      <patternFill patternType="solid">
        <fgColor rgb="FFFDF3D8"/>
        <bgColor rgb="FFFFF2CC"/>
      </patternFill>
    </fill>
    <fill>
      <patternFill patternType="solid">
        <fgColor rgb="FFF2F2F2"/>
        <bgColor rgb="FFEDEDED"/>
      </patternFill>
    </fill>
    <fill>
      <patternFill patternType="solid">
        <fgColor rgb="FFDEEBF7"/>
        <bgColor rgb="FFDCE6F1"/>
      </patternFill>
    </fill>
    <fill>
      <patternFill patternType="solid">
        <fgColor rgb="FFFCE4D6"/>
        <bgColor rgb="FFFFF2CC"/>
      </patternFill>
    </fill>
    <fill>
      <patternFill patternType="solid">
        <fgColor rgb="FFE2EFDA"/>
        <bgColor rgb="FFDCEFEA"/>
      </patternFill>
    </fill>
    <fill>
      <patternFill patternType="solid">
        <fgColor rgb="FFEAF0FB"/>
      </patternFill>
    </fill>
    <fill>
      <patternFill patternType="solid">
        <fgColor rgb="FF404040"/>
      </patternFill>
    </fill>
    <fill>
      <patternFill patternType="solid">
        <fgColor rgb="FFDCEFEA"/>
      </patternFill>
    </fill>
    <fill>
      <patternFill patternType="solid">
        <fgColor rgb="FF1F3864"/>
      </patternFill>
    </fill>
    <fill>
      <patternFill patternType="solid">
        <fgColor rgb="FFBDD7EE"/>
      </patternFill>
    </fill>
    <fill>
      <patternFill patternType="solid">
        <fgColor rgb="FFFFF2CC"/>
      </patternFill>
    </fill>
    <fill>
      <patternFill patternType="solid">
        <fgColor rgb="FFEAF3EA"/>
      </patternFill>
    </fill>
    <fill>
      <patternFill patternType="solid">
        <fgColor rgb="FFDDEBF7"/>
      </patternFill>
    </fill>
    <fill>
      <patternFill patternType="solid">
        <fgColor rgb="FFF2F2F2"/>
      </patternFill>
    </fill>
    <fill>
      <patternFill patternType="solid">
        <fgColor rgb="FFFFFFFF"/>
      </patternFill>
    </fill>
    <fill>
      <patternFill patternType="solid">
        <fgColor rgb="FFD6E7D6"/>
      </patternFill>
    </fill>
    <fill>
      <patternFill patternType="solid">
        <fgColor rgb="001F3864"/>
      </patternFill>
    </fill>
    <fill>
      <patternFill patternType="solid">
        <fgColor rgb="00DDEBF7"/>
      </patternFill>
    </fill>
    <fill>
      <patternFill patternType="solid">
        <fgColor rgb="00F2F2F2"/>
      </patternFill>
    </fill>
    <fill>
      <patternFill patternType="solid">
        <fgColor rgb="00BDD7EE"/>
      </patternFill>
    </fill>
    <fill>
      <patternFill patternType="solid">
        <fgColor rgb="00E2EFDA"/>
      </patternFill>
    </fill>
    <fill>
      <patternFill patternType="solid">
        <fgColor rgb="00FFF2CC"/>
      </patternFill>
    </fill>
    <fill>
      <patternFill patternType="solid">
        <fgColor rgb="00FFE699"/>
      </patternFill>
    </fill>
    <fill>
      <patternFill patternType="solid">
        <fgColor rgb="00C6E0B4"/>
      </patternFill>
    </fill>
    <fill>
      <patternFill patternType="solid">
        <fgColor rgb="00F8CBAD"/>
      </patternFill>
    </fill>
    <fill>
      <patternFill patternType="solid">
        <fgColor rgb="00CCC0DA"/>
      </patternFill>
    </fill>
    <fill>
      <patternFill patternType="solid">
        <fgColor rgb="00F4B6C2"/>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bottom style="thin">
        <color rgb="FFBFBFBF"/>
      </bottom>
      <diagonal/>
    </border>
    <border>
      <left/>
      <right style="thin">
        <color rgb="FFBFBFBF"/>
      </right>
      <top/>
      <bottom/>
      <diagonal/>
    </border>
    <border>
      <left/>
      <right/>
      <top/>
      <bottom style="thin">
        <color rgb="FFBFBFBF"/>
      </bottom>
      <diagonal/>
    </border>
    <border/>
    <border>
      <right/>
      <bottom/>
    </border>
    <border>
      <bottom style="thin">
        <color rgb="FFD9D9D9"/>
      </bottom>
    </border>
    <border>
      <left style="thin">
        <color rgb="FFD9D9D9"/>
      </left>
      <right style="thin">
        <color rgb="FFD9D9D9"/>
      </right>
      <top style="thin">
        <color rgb="FFD9D9D9"/>
      </top>
      <bottom style="thin">
        <color rgb="FFD9D9D9"/>
      </bottom>
    </border>
    <border>
      <bottom style="thin">
        <color rgb="FF595959"/>
      </bottom>
    </border>
    <border>
      <left style="thin">
        <color rgb="FFBFBFBF"/>
      </left>
      <right style="thin">
        <color rgb="FFBFBFBF"/>
      </right>
      <top style="medium">
        <color rgb="FF1F3864"/>
      </top>
      <bottom style="medium">
        <color rgb="FF1F3864"/>
      </bottom>
    </border>
    <border>
      <left style="thin">
        <color rgb="FFBFBFBF"/>
      </left>
      <right style="thin">
        <color rgb="FFBFBFBF"/>
      </right>
      <top style="medium">
        <color rgb="FF375623"/>
      </top>
      <bottom style="medium">
        <color rgb="FF375623"/>
      </bottom>
    </border>
    <border>
      <left style="thin">
        <color rgb="00BFBFBF"/>
      </left>
      <right style="thin">
        <color rgb="00BFBFBF"/>
      </right>
      <top style="thin">
        <color rgb="00BFBFBF"/>
      </top>
      <bottom style="thin">
        <color rgb="00BFBFBF"/>
      </bottom>
    </border>
    <border>
      <left style="medium">
        <color rgb="001F3864"/>
      </left>
      <right style="medium">
        <color rgb="001F3864"/>
      </right>
      <top style="medium">
        <color rgb="001F3864"/>
      </top>
      <bottom style="medium">
        <color rgb="001F3864"/>
      </bottom>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bottom" indent="1"/>
    </xf>
    <xf numFmtId="0" fontId="6" fillId="4" borderId="0" applyAlignment="1" pivotButton="0" quotePrefix="0" xfId="0">
      <alignment horizontal="left" vertical="bottom" indent="1"/>
    </xf>
    <xf numFmtId="0" fontId="7" fillId="0" borderId="0" applyAlignment="1" pivotButton="0" quotePrefix="0" xfId="0">
      <alignment horizontal="general" vertical="bottom" indent="1"/>
    </xf>
    <xf numFmtId="0" fontId="8" fillId="0" borderId="0" applyAlignment="1" pivotButton="0" quotePrefix="0" xfId="0">
      <alignment horizontal="general" vertical="bottom" indent="1"/>
    </xf>
    <xf numFmtId="0" fontId="9" fillId="0" borderId="0" applyAlignment="1" pivotButton="0" quotePrefix="0" xfId="0">
      <alignment horizontal="general" vertical="bottom" indent="1"/>
    </xf>
    <xf numFmtId="0" fontId="10" fillId="0" borderId="0" applyAlignment="1" pivotButton="0" quotePrefix="0" xfId="0">
      <alignment horizontal="general" vertical="bottom" indent="1"/>
    </xf>
    <xf numFmtId="0" fontId="11" fillId="0" borderId="0" applyAlignment="1" pivotButton="0" quotePrefix="0" xfId="0">
      <alignment horizontal="general" vertical="bottom" indent="1"/>
    </xf>
    <xf numFmtId="0" fontId="7" fillId="5" borderId="0" applyAlignment="1" pivotButton="0" quotePrefix="0" xfId="0">
      <alignment horizontal="general" vertical="bottom" indent="1"/>
    </xf>
    <xf numFmtId="0" fontId="12" fillId="6" borderId="0" applyAlignment="1" pivotButton="0" quotePrefix="0" xfId="0">
      <alignment horizontal="general" vertical="bottom"/>
    </xf>
    <xf numFmtId="0" fontId="13" fillId="7" borderId="0" applyAlignment="1" pivotButton="0" quotePrefix="0" xfId="0">
      <alignment horizontal="general" vertical="bottom"/>
    </xf>
    <xf numFmtId="0" fontId="14" fillId="8" borderId="0" applyAlignment="1" pivotButton="0" quotePrefix="0" xfId="0">
      <alignment horizontal="general" vertical="bottom"/>
    </xf>
    <xf numFmtId="0" fontId="15" fillId="9" borderId="1" applyAlignment="1" pivotButton="0" quotePrefix="0" xfId="0">
      <alignment horizontal="center" vertical="bottom" wrapText="1"/>
    </xf>
    <xf numFmtId="0" fontId="16" fillId="0" borderId="0" applyAlignment="1" pivotButton="0" quotePrefix="0" xfId="0">
      <alignment horizontal="general" vertical="bottom"/>
    </xf>
    <xf numFmtId="0" fontId="17" fillId="10" borderId="1" applyAlignment="1" pivotButton="0" quotePrefix="0" xfId="0">
      <alignment horizontal="general" vertical="bottom"/>
    </xf>
    <xf numFmtId="0" fontId="13"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164" fontId="17" fillId="10" borderId="1" applyAlignment="1" pivotButton="0" quotePrefix="0" xfId="0">
      <alignment horizontal="general" vertical="bottom"/>
    </xf>
    <xf numFmtId="0" fontId="19" fillId="11" borderId="0" applyAlignment="1" pivotButton="0" quotePrefix="0" xfId="0">
      <alignment horizontal="general" vertical="bottom"/>
    </xf>
    <xf numFmtId="0" fontId="0" fillId="11" borderId="0" applyAlignment="1" pivotButton="0" quotePrefix="0" xfId="0">
      <alignment horizontal="general" vertical="bottom"/>
    </xf>
    <xf numFmtId="0" fontId="13" fillId="11" borderId="0" applyAlignment="1" pivotButton="0" quotePrefix="0" xfId="0">
      <alignment horizontal="general" vertical="bottom"/>
    </xf>
    <xf numFmtId="164" fontId="0" fillId="0" borderId="0" applyAlignment="1" pivotButton="0" quotePrefix="0" xfId="0">
      <alignment horizontal="general" vertical="bottom"/>
    </xf>
    <xf numFmtId="164" fontId="20" fillId="0" borderId="0" applyAlignment="1" pivotButton="0" quotePrefix="0" xfId="0">
      <alignment horizontal="general" vertical="bottom"/>
    </xf>
    <xf numFmtId="0" fontId="21" fillId="0" borderId="1" applyAlignment="1" pivotButton="0" quotePrefix="0" xfId="0">
      <alignment horizontal="center" vertical="bottom" wrapText="1"/>
    </xf>
    <xf numFmtId="0" fontId="9" fillId="12" borderId="1" applyAlignment="1" pivotButton="0" quotePrefix="0" xfId="0">
      <alignment horizontal="left" vertical="bottom" indent="1"/>
    </xf>
    <xf numFmtId="0" fontId="13" fillId="0" borderId="0" applyAlignment="1" pivotButton="0" quotePrefix="0" xfId="0">
      <alignment horizontal="left" vertical="bottom" indent="1"/>
    </xf>
    <xf numFmtId="0" fontId="22" fillId="12" borderId="1" applyAlignment="1" pivotButton="0" quotePrefix="0" xfId="0">
      <alignment horizontal="center" vertical="bottom"/>
    </xf>
    <xf numFmtId="0" fontId="8" fillId="0" borderId="1" applyAlignment="1" pivotButton="0" quotePrefix="0" xfId="0">
      <alignment horizontal="center" vertical="bottom"/>
    </xf>
    <xf numFmtId="165" fontId="22" fillId="12" borderId="1" applyAlignment="1" pivotButton="0" quotePrefix="0" xfId="0">
      <alignment horizontal="center" vertical="bottom"/>
    </xf>
    <xf numFmtId="0" fontId="0" fillId="0" borderId="0" applyAlignment="1" pivotButton="0" quotePrefix="0" xfId="0">
      <alignment horizontal="general" vertical="bottom"/>
    </xf>
    <xf numFmtId="0" fontId="6" fillId="4" borderId="0" applyAlignment="1" pivotButton="0" quotePrefix="0" xfId="0">
      <alignment horizontal="left" vertical="bottom" indent="1"/>
    </xf>
    <xf numFmtId="4" fontId="22" fillId="12" borderId="1" applyAlignment="1" pivotButton="0" quotePrefix="0" xfId="0">
      <alignment horizontal="center" vertical="bottom"/>
    </xf>
    <xf numFmtId="3" fontId="17" fillId="10" borderId="1" applyAlignment="1" pivotButton="0" quotePrefix="0" xfId="0">
      <alignment horizontal="general" vertical="bottom"/>
    </xf>
    <xf numFmtId="4" fontId="20" fillId="12" borderId="1" applyAlignment="1" pivotButton="0" quotePrefix="0" xfId="0">
      <alignment horizontal="center" vertical="bottom"/>
    </xf>
    <xf numFmtId="0" fontId="5" fillId="3" borderId="0" applyAlignment="1" pivotButton="0" quotePrefix="0" xfId="0">
      <alignment horizontal="left" vertical="bottom" indent="1"/>
    </xf>
    <xf numFmtId="4" fontId="8" fillId="0" borderId="1" applyAlignment="1" pivotButton="0" quotePrefix="0" xfId="0">
      <alignment horizontal="center" vertical="bottom"/>
    </xf>
    <xf numFmtId="4" fontId="7" fillId="0" borderId="1" applyAlignment="1" pivotButton="0" quotePrefix="0" xfId="0">
      <alignment horizontal="center" vertical="bottom"/>
    </xf>
    <xf numFmtId="0" fontId="6" fillId="13" borderId="0" applyAlignment="1" pivotButton="0" quotePrefix="0" xfId="0">
      <alignment horizontal="left" vertical="bottom" indent="1"/>
    </xf>
    <xf numFmtId="0" fontId="22" fillId="12" borderId="1" applyAlignment="1" pivotButton="0" quotePrefix="0" xfId="0">
      <alignment horizontal="left" vertical="bottom" inden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166" fontId="22" fillId="12" borderId="1" applyAlignment="1" pivotButton="0" quotePrefix="0" xfId="0">
      <alignment horizontal="center" vertical="bottom"/>
    </xf>
    <xf numFmtId="167" fontId="8" fillId="0" borderId="1" applyAlignment="1" pivotButton="0" quotePrefix="0" xfId="0">
      <alignment horizontal="center" vertical="bottom"/>
    </xf>
    <xf numFmtId="0" fontId="23" fillId="0" borderId="1" applyAlignment="1" pivotButton="0" quotePrefix="0" xfId="0">
      <alignment horizontal="center" vertical="bottom"/>
    </xf>
    <xf numFmtId="4" fontId="20" fillId="0" borderId="1" applyAlignment="1" pivotButton="0" quotePrefix="0" xfId="0">
      <alignment horizontal="center" vertical="bottom"/>
    </xf>
    <xf numFmtId="3" fontId="8" fillId="0" borderId="1" applyAlignment="1" pivotButton="0" quotePrefix="0" xfId="0">
      <alignment horizontal="center" vertical="bottom"/>
    </xf>
    <xf numFmtId="4" fontId="24" fillId="0" borderId="1" applyAlignment="1" pivotButton="0" quotePrefix="0" xfId="0">
      <alignment horizontal="center" vertical="bottom"/>
    </xf>
    <xf numFmtId="3" fontId="7" fillId="0" borderId="1" applyAlignment="1" pivotButton="0" quotePrefix="0" xfId="0">
      <alignment horizontal="center" vertical="bottom"/>
    </xf>
    <xf numFmtId="0" fontId="7" fillId="14" borderId="0" applyAlignment="1" pivotButton="0" quotePrefix="0" xfId="0">
      <alignment horizontal="general" vertical="bottom" indent="1"/>
    </xf>
    <xf numFmtId="0" fontId="0" fillId="14" borderId="0" applyAlignment="1" pivotButton="0" quotePrefix="0" xfId="0">
      <alignment horizontal="general" vertical="bottom"/>
    </xf>
    <xf numFmtId="3" fontId="7" fillId="14" borderId="1" applyAlignment="1" pivotButton="0" quotePrefix="0" xfId="0">
      <alignment horizontal="center" vertical="bottom"/>
    </xf>
    <xf numFmtId="0" fontId="6" fillId="13" borderId="0" applyAlignment="1" pivotButton="0" quotePrefix="0" xfId="0">
      <alignment horizontal="left" vertical="bottom" indent="1"/>
    </xf>
    <xf numFmtId="165" fontId="8" fillId="0" borderId="1" applyAlignment="1" pivotButton="0" quotePrefix="0" xfId="0">
      <alignment horizontal="center" vertical="bottom"/>
    </xf>
    <xf numFmtId="0" fontId="25" fillId="0" borderId="0" applyAlignment="1" pivotButton="0" quotePrefix="0" xfId="0">
      <alignment horizontal="general" vertical="bottom"/>
    </xf>
    <xf numFmtId="0" fontId="13" fillId="0" borderId="0" applyAlignment="1" pivotButton="0" quotePrefix="0" xfId="0">
      <alignment horizontal="general" vertical="bottom"/>
    </xf>
    <xf numFmtId="0" fontId="26" fillId="0" borderId="0" applyAlignment="1" pivotButton="0" quotePrefix="0" xfId="0">
      <alignment horizontal="general" vertical="bottom" indent="1"/>
    </xf>
    <xf numFmtId="4" fontId="8" fillId="12" borderId="1" applyAlignment="1" pivotButton="0" quotePrefix="0" xfId="0">
      <alignment horizontal="center" vertical="bottom"/>
    </xf>
    <xf numFmtId="3" fontId="8" fillId="12" borderId="1" applyAlignment="1" pivotButton="0" quotePrefix="0" xfId="0">
      <alignment horizontal="center" vertical="bottom"/>
    </xf>
    <xf numFmtId="0" fontId="13" fillId="12" borderId="0" applyAlignment="1" pivotButton="0" quotePrefix="0" xfId="0">
      <alignment horizontal="general" vertical="bottom"/>
    </xf>
    <xf numFmtId="0" fontId="23" fillId="0" borderId="1" applyAlignment="1" pivotButton="0" quotePrefix="0" xfId="0">
      <alignment horizontal="center" vertical="bottom"/>
    </xf>
    <xf numFmtId="168" fontId="8" fillId="0" borderId="1" applyAlignment="1" pivotButton="0" quotePrefix="0" xfId="0">
      <alignment horizontal="center" vertical="bottom"/>
    </xf>
    <xf numFmtId="169" fontId="8" fillId="0" borderId="1" applyAlignment="1" pivotButton="0" quotePrefix="0" xfId="0">
      <alignment horizontal="center" vertical="bottom"/>
    </xf>
    <xf numFmtId="169" fontId="22" fillId="5" borderId="1" applyAlignment="1" pivotButton="0" quotePrefix="0" xfId="0">
      <alignment horizontal="center" vertical="bottom"/>
    </xf>
    <xf numFmtId="0" fontId="8" fillId="0" borderId="0" applyAlignment="1" pivotButton="0" quotePrefix="0" xfId="0">
      <alignment horizontal="general" vertical="bottom" indent="1"/>
    </xf>
    <xf numFmtId="0" fontId="13" fillId="7" borderId="0" applyAlignment="1" pivotButton="0" quotePrefix="0" xfId="0">
      <alignment horizontal="general" vertical="bottom"/>
    </xf>
    <xf numFmtId="0" fontId="19" fillId="11" borderId="1" applyAlignment="1" pivotButton="0" quotePrefix="0" xfId="0">
      <alignment horizontal="center" vertical="bottom" wrapText="1"/>
    </xf>
    <xf numFmtId="3" fontId="15" fillId="11" borderId="1" applyAlignment="1" pivotButton="0" quotePrefix="0" xfId="0">
      <alignment horizontal="center" vertical="bottom" wrapText="1"/>
    </xf>
    <xf numFmtId="0" fontId="18" fillId="11" borderId="1" applyAlignment="1" pivotButton="0" quotePrefix="0" xfId="0">
      <alignment horizontal="center" vertical="bottom" wrapText="1"/>
    </xf>
    <xf numFmtId="0" fontId="15" fillId="11" borderId="1" applyAlignment="1" pivotButton="0" quotePrefix="0" xfId="0">
      <alignment horizontal="center" vertical="bottom" wrapText="1"/>
    </xf>
    <xf numFmtId="0" fontId="13" fillId="11" borderId="1" applyAlignment="1" pivotButton="0" quotePrefix="0" xfId="0">
      <alignment horizontal="center" vertical="bottom" wrapText="1"/>
    </xf>
    <xf numFmtId="0" fontId="8" fillId="0" borderId="0" applyAlignment="1" pivotButton="0" quotePrefix="0" xfId="0">
      <alignment horizontal="general" vertical="bottom"/>
    </xf>
    <xf numFmtId="3" fontId="0" fillId="0" borderId="0" applyAlignment="1" pivotButton="0" quotePrefix="0" xfId="0">
      <alignment horizontal="general" vertical="bottom"/>
    </xf>
    <xf numFmtId="3" fontId="20" fillId="0" borderId="0" applyAlignment="1" pivotButton="0" quotePrefix="0" xfId="0">
      <alignment horizontal="general" vertical="bottom"/>
    </xf>
    <xf numFmtId="0" fontId="8" fillId="0" borderId="1" applyAlignment="1" pivotButton="0" quotePrefix="0" xfId="0">
      <alignment horizontal="left" vertical="bottom" indent="1"/>
    </xf>
    <xf numFmtId="166" fontId="20" fillId="0" borderId="1" applyAlignment="1" pivotButton="0" quotePrefix="0" xfId="0">
      <alignment horizontal="center" vertical="bottom"/>
    </xf>
    <xf numFmtId="170" fontId="20" fillId="12" borderId="1" applyAlignment="1" pivotButton="0" quotePrefix="0" xfId="0">
      <alignment horizontal="center" vertical="bottom"/>
    </xf>
    <xf numFmtId="170" fontId="8" fillId="0" borderId="1" applyAlignment="1" pivotButton="0" quotePrefix="0" xfId="0">
      <alignment horizontal="center" vertical="bottom"/>
    </xf>
    <xf numFmtId="0" fontId="27" fillId="3" borderId="0" applyAlignment="1" pivotButton="0" quotePrefix="0" xfId="0">
      <alignment horizontal="left" vertical="top" wrapText="1"/>
    </xf>
    <xf numFmtId="0" fontId="28" fillId="5" borderId="0" applyAlignment="1" pivotButton="0" quotePrefix="0" xfId="0">
      <alignment horizontal="left" vertical="top" wrapText="1" indent="1"/>
    </xf>
    <xf numFmtId="0" fontId="12" fillId="2" borderId="0" applyAlignment="1" pivotButton="0" quotePrefix="0" xfId="0">
      <alignment horizontal="left" vertical="center" indent="1"/>
    </xf>
    <xf numFmtId="170" fontId="22" fillId="12" borderId="1" applyAlignment="1" pivotButton="0" quotePrefix="0" xfId="0">
      <alignment horizontal="center" vertical="bottom"/>
    </xf>
    <xf numFmtId="0" fontId="7" fillId="12" borderId="1" applyAlignment="1" pivotButton="0" quotePrefix="0" xfId="0">
      <alignment horizontal="left" vertical="bottom" indent="1"/>
    </xf>
    <xf numFmtId="0" fontId="8" fillId="12" borderId="1" applyAlignment="1" pivotButton="0" quotePrefix="0" xfId="0">
      <alignment horizontal="center" vertical="bottom"/>
    </xf>
    <xf numFmtId="170" fontId="7" fillId="12" borderId="1" applyAlignment="1" pivotButton="0" quotePrefix="0" xfId="0">
      <alignment horizontal="center" vertical="bottom"/>
    </xf>
    <xf numFmtId="0" fontId="7" fillId="0" borderId="1" applyAlignment="1" pivotButton="0" quotePrefix="0" xfId="0">
      <alignment horizontal="left" vertical="bottom" indent="1"/>
    </xf>
    <xf numFmtId="170" fontId="7" fillId="0" borderId="1" applyAlignment="1" pivotButton="0" quotePrefix="0" xfId="0">
      <alignment horizontal="center" vertical="bottom"/>
    </xf>
    <xf numFmtId="10" fontId="22" fillId="12" borderId="1" applyAlignment="1" pivotButton="0" quotePrefix="0" xfId="0">
      <alignment horizontal="center" vertical="bottom"/>
    </xf>
    <xf numFmtId="0" fontId="7" fillId="14" borderId="1" applyAlignment="1" pivotButton="0" quotePrefix="0" xfId="0">
      <alignment horizontal="left" vertical="bottom" indent="1"/>
    </xf>
    <xf numFmtId="0" fontId="8" fillId="14" borderId="1" applyAlignment="1" pivotButton="0" quotePrefix="0" xfId="0">
      <alignment horizontal="center" vertical="bottom"/>
    </xf>
    <xf numFmtId="170" fontId="7" fillId="14" borderId="1" applyAlignment="1" pivotButton="0" quotePrefix="0" xfId="0">
      <alignment horizontal="center" vertical="bottom"/>
    </xf>
    <xf numFmtId="0" fontId="4" fillId="2" borderId="0" applyAlignment="1" pivotButton="0" quotePrefix="0" xfId="0">
      <alignment horizontal="general" vertical="center" indent="1"/>
    </xf>
    <xf numFmtId="0" fontId="5" fillId="3" borderId="0" applyAlignment="1" pivotButton="0" quotePrefix="0" xfId="0">
      <alignment horizontal="general" vertical="bottom" indent="1"/>
    </xf>
    <xf numFmtId="170" fontId="20" fillId="0" borderId="1" applyAlignment="1" pivotButton="0" quotePrefix="0" xfId="0">
      <alignment horizontal="center" vertical="bottom"/>
    </xf>
    <xf numFmtId="0" fontId="13" fillId="0" borderId="1" applyAlignment="1" pivotButton="0" quotePrefix="0" xfId="0">
      <alignment horizontal="left" vertical="bottom" indent="1"/>
    </xf>
    <xf numFmtId="170" fontId="20" fillId="5" borderId="1" applyAlignment="1" pivotButton="0" quotePrefix="0" xfId="0">
      <alignment horizontal="center" vertical="bottom"/>
    </xf>
    <xf numFmtId="0" fontId="27" fillId="3" borderId="0" applyAlignment="1" pivotButton="0" quotePrefix="0" xfId="0">
      <alignment horizontal="left" vertical="top" wrapText="1" indent="1"/>
    </xf>
    <xf numFmtId="9" fontId="22" fillId="12" borderId="1" applyAlignment="1" pivotButton="0" quotePrefix="0" xfId="0">
      <alignment horizontal="center" vertical="bottom"/>
    </xf>
    <xf numFmtId="0" fontId="6" fillId="3" borderId="0" applyAlignment="1" pivotButton="0" quotePrefix="0" xfId="0">
      <alignment horizontal="left" vertical="bottom" indent="1"/>
    </xf>
    <xf numFmtId="0" fontId="21" fillId="0" borderId="1" applyAlignment="1" pivotButton="0" quotePrefix="0" xfId="0">
      <alignment horizontal="center" vertical="bottom"/>
    </xf>
    <xf numFmtId="0" fontId="0" fillId="0" borderId="1" applyAlignment="1" pivotButton="0" quotePrefix="0" xfId="0">
      <alignment horizontal="general" vertical="bottom"/>
    </xf>
    <xf numFmtId="3" fontId="22" fillId="12" borderId="1" applyAlignment="1" pivotButton="0" quotePrefix="0" xfId="0">
      <alignment horizontal="center" vertical="bottom"/>
    </xf>
    <xf numFmtId="0" fontId="19" fillId="0" borderId="0" applyAlignment="1" pivotButton="0" quotePrefix="0" xfId="0">
      <alignment horizontal="general" vertical="bottom"/>
    </xf>
    <xf numFmtId="0" fontId="22" fillId="0" borderId="0" applyAlignment="1" pivotButton="0" quotePrefix="0" xfId="0">
      <alignment horizontal="general" vertical="bottom"/>
    </xf>
    <xf numFmtId="170" fontId="0" fillId="0" borderId="0" applyAlignment="1" pivotButton="0" quotePrefix="0" xfId="0">
      <alignment horizontal="general" vertical="bottom"/>
    </xf>
    <xf numFmtId="3" fontId="0" fillId="0" borderId="0" applyAlignment="1" pivotButton="0" quotePrefix="0" xfId="0">
      <alignment horizontal="general" vertical="bottom"/>
    </xf>
    <xf numFmtId="3" fontId="20" fillId="0" borderId="1" applyAlignment="1" pivotButton="0" quotePrefix="0" xfId="0">
      <alignment horizontal="center" vertical="bottom"/>
    </xf>
    <xf numFmtId="0" fontId="16" fillId="0" borderId="0" applyAlignment="1" pivotButton="0" quotePrefix="0" xfId="0">
      <alignment horizontal="general" vertical="bottom"/>
    </xf>
    <xf numFmtId="0" fontId="12" fillId="2" borderId="0" applyAlignment="1" pivotButton="0" quotePrefix="0" xfId="0">
      <alignment horizontal="left" vertical="center" indent="1"/>
    </xf>
    <xf numFmtId="170" fontId="22" fillId="0" borderId="1" applyAlignment="1" pivotButton="0" quotePrefix="0" xfId="0">
      <alignment horizontal="center" vertical="bottom"/>
    </xf>
    <xf numFmtId="0" fontId="16" fillId="0" borderId="0" applyAlignment="1" pivotButton="0" quotePrefix="0" xfId="0">
      <alignment horizontal="center" vertical="bottom" wrapText="1"/>
    </xf>
    <xf numFmtId="0" fontId="16" fillId="0" borderId="0" applyAlignment="1" pivotButton="0" quotePrefix="0" xfId="0">
      <alignment horizontal="center" vertical="bottom"/>
    </xf>
    <xf numFmtId="3" fontId="22" fillId="0" borderId="1" applyAlignment="1" pivotButton="0" quotePrefix="0" xfId="0">
      <alignment horizontal="center" vertical="bottom"/>
    </xf>
    <xf numFmtId="0" fontId="16" fillId="0" borderId="0" applyAlignment="1" pivotButton="0" quotePrefix="0" xfId="0">
      <alignment horizontal="left" vertical="bottom" indent="1"/>
    </xf>
    <xf numFmtId="0" fontId="6" fillId="4" borderId="0" applyAlignment="1" pivotButton="0" quotePrefix="0" xfId="0">
      <alignment horizontal="general" vertical="bottom" indent="1"/>
    </xf>
    <xf numFmtId="0" fontId="7" fillId="0" borderId="0" applyAlignment="1" pivotButton="0" quotePrefix="0" xfId="0">
      <alignment horizontal="general" vertical="bottom"/>
    </xf>
    <xf numFmtId="0" fontId="29" fillId="15" borderId="1" applyAlignment="1" pivotButton="0" quotePrefix="0" xfId="0">
      <alignment horizontal="center" vertical="bottom"/>
    </xf>
    <xf numFmtId="4" fontId="29" fillId="15" borderId="1" applyAlignment="1" pivotButton="0" quotePrefix="0" xfId="0">
      <alignment horizontal="center" vertical="bottom"/>
    </xf>
    <xf numFmtId="0" fontId="30" fillId="15" borderId="0" applyAlignment="1" pivotButton="0" quotePrefix="0" xfId="0">
      <alignment horizontal="general" vertical="bottom" wrapText="1" indent="1"/>
    </xf>
    <xf numFmtId="0" fontId="7" fillId="12" borderId="0" applyAlignment="1" pivotButton="0" quotePrefix="0" xfId="0">
      <alignment horizontal="general" vertical="bottom" indent="1"/>
    </xf>
    <xf numFmtId="0" fontId="0" fillId="12" borderId="0" applyAlignment="1" pivotButton="0" quotePrefix="0" xfId="0">
      <alignment horizontal="general" vertical="bottom"/>
    </xf>
    <xf numFmtId="0" fontId="13" fillId="12" borderId="0" applyAlignment="1" pivotButton="0" quotePrefix="0" xfId="0">
      <alignment horizontal="left" vertical="bottom" indent="1"/>
    </xf>
    <xf numFmtId="3" fontId="7" fillId="12" borderId="1" applyAlignment="1" pivotButton="0" quotePrefix="0" xfId="0">
      <alignment horizontal="center" vertical="bottom"/>
    </xf>
    <xf numFmtId="2" fontId="8" fillId="0" borderId="1" applyAlignment="1" pivotButton="0" quotePrefix="0" xfId="0">
      <alignment horizontal="center" vertical="bottom"/>
    </xf>
    <xf numFmtId="3" fontId="22" fillId="5" borderId="1" applyAlignment="1" pivotButton="0" quotePrefix="0" xfId="0">
      <alignment horizontal="center" vertical="bottom"/>
    </xf>
    <xf numFmtId="3" fontId="24" fillId="0" borderId="1" applyAlignment="1" pivotButton="0" quotePrefix="0" xfId="0">
      <alignment horizontal="center" vertical="bottom"/>
    </xf>
    <xf numFmtId="165" fontId="20" fillId="0" borderId="1" applyAlignment="1" pivotButton="0" quotePrefix="0" xfId="0">
      <alignment horizontal="center" vertical="bottom"/>
    </xf>
    <xf numFmtId="171" fontId="22" fillId="12" borderId="1" applyAlignment="1" pivotButton="0" quotePrefix="0" xfId="0">
      <alignment horizontal="center" vertical="bottom"/>
    </xf>
    <xf numFmtId="166" fontId="8" fillId="0" borderId="1" applyAlignment="1" pivotButton="0" quotePrefix="0" xfId="0">
      <alignment horizontal="center" vertical="bottom"/>
    </xf>
    <xf numFmtId="3" fontId="11" fillId="0" borderId="1" applyAlignment="1" pivotButton="0" quotePrefix="0" xfId="0">
      <alignment horizontal="center" vertical="bottom"/>
    </xf>
    <xf numFmtId="4" fontId="22" fillId="5" borderId="1" applyAlignment="1" pivotButton="0" quotePrefix="0" xfId="0">
      <alignment horizontal="center" vertical="bottom"/>
    </xf>
    <xf numFmtId="3" fontId="31" fillId="10" borderId="1" applyAlignment="1" pivotButton="0" quotePrefix="0" xfId="0">
      <alignment horizontal="center" vertical="bottom"/>
    </xf>
    <xf numFmtId="0" fontId="13" fillId="14" borderId="0" applyAlignment="1" pivotButton="0" quotePrefix="0" xfId="0">
      <alignment horizontal="left" vertical="bottom" indent="1"/>
    </xf>
    <xf numFmtId="4" fontId="24" fillId="14" borderId="1" applyAlignment="1" pivotButton="0" quotePrefix="0" xfId="0">
      <alignment horizontal="center" vertical="bottom"/>
    </xf>
    <xf numFmtId="4" fontId="7" fillId="14" borderId="1" applyAlignment="1" pivotButton="0" quotePrefix="0" xfId="0">
      <alignment horizontal="center" vertical="bottom"/>
    </xf>
    <xf numFmtId="0" fontId="17" fillId="0" borderId="1" applyAlignment="1" pivotButton="0" quotePrefix="0" xfId="0">
      <alignment horizontal="general" vertical="bottom"/>
    </xf>
    <xf numFmtId="0" fontId="0"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3" borderId="0" applyAlignment="1" pivotButton="0" quotePrefix="0" xfId="0">
      <alignment horizontal="left" vertical="bottom" indent="1"/>
    </xf>
    <xf numFmtId="0" fontId="6" fillId="4" borderId="0" applyAlignment="1" pivotButton="0" quotePrefix="0" xfId="0">
      <alignment horizontal="left" vertical="bottom" indent="1"/>
    </xf>
    <xf numFmtId="0" fontId="7" fillId="0" borderId="0" applyAlignment="1" pivotButton="0" quotePrefix="0" xfId="0">
      <alignment horizontal="general" vertical="bottom" indent="1"/>
    </xf>
    <xf numFmtId="0" fontId="8" fillId="0" borderId="0" applyAlignment="1" pivotButton="0" quotePrefix="0" xfId="0">
      <alignment horizontal="general" vertical="bottom" indent="1"/>
    </xf>
    <xf numFmtId="0" fontId="9" fillId="0" borderId="0" applyAlignment="1" pivotButton="0" quotePrefix="0" xfId="0">
      <alignment horizontal="general" vertical="bottom" indent="1"/>
    </xf>
    <xf numFmtId="0" fontId="10" fillId="0" borderId="0" applyAlignment="1" pivotButton="0" quotePrefix="0" xfId="0">
      <alignment horizontal="general" vertical="bottom" indent="1"/>
    </xf>
    <xf numFmtId="0" fontId="11" fillId="0" borderId="0" applyAlignment="1" pivotButton="0" quotePrefix="0" xfId="0">
      <alignment horizontal="general" vertical="bottom" indent="1"/>
    </xf>
    <xf numFmtId="0" fontId="7" fillId="5" borderId="0" applyAlignment="1" pivotButton="0" quotePrefix="0" xfId="0">
      <alignment horizontal="general" vertical="bottom" indent="1"/>
    </xf>
    <xf numFmtId="0" fontId="12" fillId="6" borderId="0" applyAlignment="1" pivotButton="0" quotePrefix="0" xfId="0">
      <alignment horizontal="general" vertical="bottom"/>
    </xf>
    <xf numFmtId="0" fontId="13" fillId="7" borderId="0" applyAlignment="1" pivotButton="0" quotePrefix="0" xfId="0">
      <alignment horizontal="general" vertical="bottom"/>
    </xf>
    <xf numFmtId="0" fontId="14" fillId="8" borderId="0" applyAlignment="1" pivotButton="0" quotePrefix="0" xfId="0">
      <alignment horizontal="general" vertical="bottom"/>
    </xf>
    <xf numFmtId="0" fontId="15" fillId="9" borderId="1" applyAlignment="1" pivotButton="0" quotePrefix="0" xfId="0">
      <alignment horizontal="center" vertical="bottom" wrapText="1"/>
    </xf>
    <xf numFmtId="0" fontId="16" fillId="0" borderId="0" applyAlignment="1" pivotButton="0" quotePrefix="0" xfId="0">
      <alignment horizontal="general" vertical="bottom"/>
    </xf>
    <xf numFmtId="0" fontId="17" fillId="10" borderId="1" applyAlignment="1" pivotButton="0" quotePrefix="0" xfId="0">
      <alignment horizontal="general" vertical="bottom"/>
    </xf>
    <xf numFmtId="0" fontId="13"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164" fontId="17" fillId="10" borderId="1" applyAlignment="1" pivotButton="0" quotePrefix="0" xfId="0">
      <alignment horizontal="general" vertical="bottom"/>
    </xf>
    <xf numFmtId="0" fontId="19" fillId="11" borderId="0" applyAlignment="1" pivotButton="0" quotePrefix="0" xfId="0">
      <alignment horizontal="general" vertical="bottom"/>
    </xf>
    <xf numFmtId="0" fontId="0" fillId="11" borderId="0" applyAlignment="1" pivotButton="0" quotePrefix="0" xfId="0">
      <alignment horizontal="general" vertical="bottom"/>
    </xf>
    <xf numFmtId="0" fontId="13" fillId="11" borderId="0" applyAlignment="1" pivotButton="0" quotePrefix="0" xfId="0">
      <alignment horizontal="general" vertical="bottom"/>
    </xf>
    <xf numFmtId="164" fontId="0" fillId="0" borderId="0" applyAlignment="1" pivotButton="0" quotePrefix="0" xfId="0">
      <alignment horizontal="general" vertical="bottom"/>
    </xf>
    <xf numFmtId="164" fontId="20" fillId="0" borderId="0" applyAlignment="1" pivotButton="0" quotePrefix="0" xfId="0">
      <alignment horizontal="general" vertical="bottom"/>
    </xf>
    <xf numFmtId="0" fontId="21" fillId="0" borderId="1" applyAlignment="1" pivotButton="0" quotePrefix="0" xfId="0">
      <alignment horizontal="center" vertical="bottom" wrapText="1"/>
    </xf>
    <xf numFmtId="0" fontId="9" fillId="12" borderId="1" applyAlignment="1" pivotButton="0" quotePrefix="0" xfId="0">
      <alignment horizontal="left" vertical="bottom" indent="1"/>
    </xf>
    <xf numFmtId="0" fontId="13" fillId="0" borderId="0" applyAlignment="1" pivotButton="0" quotePrefix="0" xfId="0">
      <alignment horizontal="left" vertical="bottom" indent="1"/>
    </xf>
    <xf numFmtId="0" fontId="22" fillId="12" borderId="1" applyAlignment="1" pivotButton="0" quotePrefix="0" xfId="0">
      <alignment horizontal="center" vertical="bottom"/>
    </xf>
    <xf numFmtId="0" fontId="8" fillId="0" borderId="1" applyAlignment="1" pivotButton="0" quotePrefix="0" xfId="0">
      <alignment horizontal="center" vertical="bottom"/>
    </xf>
    <xf numFmtId="165" fontId="22" fillId="12" borderId="1" applyAlignment="1" pivotButton="0" quotePrefix="0" xfId="0">
      <alignment horizontal="center" vertical="bottom"/>
    </xf>
    <xf numFmtId="4" fontId="22" fillId="12" borderId="1" applyAlignment="1" pivotButton="0" quotePrefix="0" xfId="0">
      <alignment horizontal="center" vertical="bottom"/>
    </xf>
    <xf numFmtId="3" fontId="17" fillId="10" borderId="1" applyAlignment="1" pivotButton="0" quotePrefix="0" xfId="0">
      <alignment horizontal="general" vertical="bottom"/>
    </xf>
    <xf numFmtId="4" fontId="20" fillId="12" borderId="1" applyAlignment="1" pivotButton="0" quotePrefix="0" xfId="0">
      <alignment horizontal="center" vertical="bottom"/>
    </xf>
    <xf numFmtId="0" fontId="32" fillId="0" borderId="0" applyAlignment="1" pivotButton="0" quotePrefix="0" xfId="0">
      <alignment horizontal="general" vertical="bottom"/>
    </xf>
    <xf numFmtId="3" fontId="33" fillId="16" borderId="4" pivotButton="0" quotePrefix="0" xfId="0"/>
    <xf numFmtId="0" fontId="34" fillId="0" borderId="0" pivotButton="0" quotePrefix="0" xfId="0"/>
    <xf numFmtId="0" fontId="35" fillId="0" borderId="0" pivotButton="0" quotePrefix="0" xfId="0"/>
    <xf numFmtId="4" fontId="8" fillId="0" borderId="1" applyAlignment="1" pivotButton="0" quotePrefix="0" xfId="0">
      <alignment horizontal="center" vertical="bottom"/>
    </xf>
    <xf numFmtId="4" fontId="7" fillId="0" borderId="1" applyAlignment="1" pivotButton="0" quotePrefix="0" xfId="0">
      <alignment horizontal="center" vertical="bottom"/>
    </xf>
    <xf numFmtId="0" fontId="6" fillId="13" borderId="0" applyAlignment="1" pivotButton="0" quotePrefix="0" xfId="0">
      <alignment horizontal="left" vertical="bottom" indent="1"/>
    </xf>
    <xf numFmtId="0" fontId="22" fillId="12" borderId="1" applyAlignment="1" pivotButton="0" quotePrefix="0" xfId="0">
      <alignment horizontal="left" vertical="bottom" inden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166" fontId="22" fillId="12" borderId="1" applyAlignment="1" pivotButton="0" quotePrefix="0" xfId="0">
      <alignment horizontal="center" vertical="bottom"/>
    </xf>
    <xf numFmtId="167" fontId="8" fillId="0" borderId="1" applyAlignment="1" pivotButton="0" quotePrefix="0" xfId="0">
      <alignment horizontal="center" vertical="bottom"/>
    </xf>
    <xf numFmtId="0" fontId="23" fillId="0" borderId="1" applyAlignment="1" pivotButton="0" quotePrefix="0" xfId="0">
      <alignment horizontal="center" vertical="bottom"/>
    </xf>
    <xf numFmtId="4" fontId="20" fillId="0" borderId="1" applyAlignment="1" pivotButton="0" quotePrefix="0" xfId="0">
      <alignment horizontal="center" vertical="bottom"/>
    </xf>
    <xf numFmtId="3" fontId="8" fillId="0" borderId="1" applyAlignment="1" pivotButton="0" quotePrefix="0" xfId="0">
      <alignment horizontal="center" vertical="bottom"/>
    </xf>
    <xf numFmtId="4" fontId="24" fillId="0" borderId="1" applyAlignment="1" pivotButton="0" quotePrefix="0" xfId="0">
      <alignment horizontal="center" vertical="bottom"/>
    </xf>
    <xf numFmtId="3" fontId="7" fillId="0" borderId="1" applyAlignment="1" pivotButton="0" quotePrefix="0" xfId="0">
      <alignment horizontal="center" vertical="bottom"/>
    </xf>
    <xf numFmtId="0" fontId="7" fillId="14" borderId="0" applyAlignment="1" pivotButton="0" quotePrefix="0" xfId="0">
      <alignment horizontal="general" vertical="bottom" indent="1"/>
    </xf>
    <xf numFmtId="0" fontId="0" fillId="14" borderId="0" applyAlignment="1" pivotButton="0" quotePrefix="0" xfId="0">
      <alignment horizontal="general" vertical="bottom"/>
    </xf>
    <xf numFmtId="3" fontId="7" fillId="14" borderId="1" applyAlignment="1" pivotButton="0" quotePrefix="0" xfId="0">
      <alignment horizontal="center" vertical="bottom"/>
    </xf>
    <xf numFmtId="165" fontId="8" fillId="0" borderId="1" applyAlignment="1" pivotButton="0" quotePrefix="0" xfId="0">
      <alignment horizontal="center"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indent="1"/>
    </xf>
    <xf numFmtId="4" fontId="8" fillId="12" borderId="1" applyAlignment="1" pivotButton="0" quotePrefix="0" xfId="0">
      <alignment horizontal="center" vertical="bottom"/>
    </xf>
    <xf numFmtId="3" fontId="8" fillId="12" borderId="1" applyAlignment="1" pivotButton="0" quotePrefix="0" xfId="0">
      <alignment horizontal="center" vertical="bottom"/>
    </xf>
    <xf numFmtId="0" fontId="13" fillId="12" borderId="0" applyAlignment="1" pivotButton="0" quotePrefix="0" xfId="0">
      <alignment horizontal="general" vertical="bottom"/>
    </xf>
    <xf numFmtId="168" fontId="8" fillId="0" borderId="1" applyAlignment="1" pivotButton="0" quotePrefix="0" xfId="0">
      <alignment horizontal="center" vertical="bottom"/>
    </xf>
    <xf numFmtId="169" fontId="8" fillId="0" borderId="1" applyAlignment="1" pivotButton="0" quotePrefix="0" xfId="0">
      <alignment horizontal="center" vertical="bottom"/>
    </xf>
    <xf numFmtId="169" fontId="22" fillId="5" borderId="1" applyAlignment="1" pivotButton="0" quotePrefix="0" xfId="0">
      <alignment horizontal="center" vertical="bottom"/>
    </xf>
    <xf numFmtId="0" fontId="19" fillId="11" borderId="1" applyAlignment="1" pivotButton="0" quotePrefix="0" xfId="0">
      <alignment horizontal="center" vertical="bottom" wrapText="1"/>
    </xf>
    <xf numFmtId="3" fontId="15" fillId="11" borderId="1" applyAlignment="1" pivotButton="0" quotePrefix="0" xfId="0">
      <alignment horizontal="center" vertical="bottom" wrapText="1"/>
    </xf>
    <xf numFmtId="0" fontId="18" fillId="11" borderId="1" applyAlignment="1" pivotButton="0" quotePrefix="0" xfId="0">
      <alignment horizontal="center" vertical="bottom" wrapText="1"/>
    </xf>
    <xf numFmtId="0" fontId="15" fillId="11" borderId="1" applyAlignment="1" pivotButton="0" quotePrefix="0" xfId="0">
      <alignment horizontal="center" vertical="bottom" wrapText="1"/>
    </xf>
    <xf numFmtId="0" fontId="13" fillId="11" borderId="1" applyAlignment="1" pivotButton="0" quotePrefix="0" xfId="0">
      <alignment horizontal="center" vertical="bottom" wrapText="1"/>
    </xf>
    <xf numFmtId="0" fontId="8" fillId="0" borderId="0" applyAlignment="1" pivotButton="0" quotePrefix="0" xfId="0">
      <alignment horizontal="general" vertical="bottom"/>
    </xf>
    <xf numFmtId="3" fontId="0" fillId="0" borderId="0" applyAlignment="1" pivotButton="0" quotePrefix="0" xfId="0">
      <alignment horizontal="general" vertical="bottom"/>
    </xf>
    <xf numFmtId="3" fontId="20" fillId="0" borderId="0" applyAlignment="1" pivotButton="0" quotePrefix="0" xfId="0">
      <alignment horizontal="general" vertical="bottom"/>
    </xf>
    <xf numFmtId="0" fontId="8" fillId="0" borderId="1" applyAlignment="1" pivotButton="0" quotePrefix="0" xfId="0">
      <alignment horizontal="left" vertical="bottom" indent="1"/>
    </xf>
    <xf numFmtId="166" fontId="20" fillId="0" borderId="1" applyAlignment="1" pivotButton="0" quotePrefix="0" xfId="0">
      <alignment horizontal="center" vertical="bottom"/>
    </xf>
    <xf numFmtId="170" fontId="20" fillId="12" borderId="1" applyAlignment="1" pivotButton="0" quotePrefix="0" xfId="0">
      <alignment horizontal="center" vertical="bottom"/>
    </xf>
    <xf numFmtId="170" fontId="8" fillId="0" borderId="1" applyAlignment="1" pivotButton="0" quotePrefix="0" xfId="0">
      <alignment horizontal="center" vertical="bottom"/>
    </xf>
    <xf numFmtId="0" fontId="27" fillId="3" borderId="0" applyAlignment="1" pivotButton="0" quotePrefix="0" xfId="0">
      <alignment horizontal="left" vertical="top" wrapText="1"/>
    </xf>
    <xf numFmtId="0" fontId="28" fillId="5" borderId="0" applyAlignment="1" pivotButton="0" quotePrefix="0" xfId="0">
      <alignment horizontal="left" vertical="top" wrapText="1" indent="1"/>
    </xf>
    <xf numFmtId="0" fontId="12" fillId="2" borderId="0" applyAlignment="1" pivotButton="0" quotePrefix="0" xfId="0">
      <alignment horizontal="left" vertical="center" indent="1"/>
    </xf>
    <xf numFmtId="170" fontId="22" fillId="12" borderId="1" applyAlignment="1" pivotButton="0" quotePrefix="0" xfId="0">
      <alignment horizontal="center" vertical="bottom"/>
    </xf>
    <xf numFmtId="0" fontId="7" fillId="12" borderId="1" applyAlignment="1" pivotButton="0" quotePrefix="0" xfId="0">
      <alignment horizontal="left" vertical="bottom" indent="1"/>
    </xf>
    <xf numFmtId="0" fontId="8" fillId="12" borderId="1" applyAlignment="1" pivotButton="0" quotePrefix="0" xfId="0">
      <alignment horizontal="center" vertical="bottom"/>
    </xf>
    <xf numFmtId="170" fontId="7" fillId="12" borderId="1" applyAlignment="1" pivotButton="0" quotePrefix="0" xfId="0">
      <alignment horizontal="center" vertical="bottom"/>
    </xf>
    <xf numFmtId="0" fontId="7" fillId="0" borderId="1" applyAlignment="1" pivotButton="0" quotePrefix="0" xfId="0">
      <alignment horizontal="left" vertical="bottom" indent="1"/>
    </xf>
    <xf numFmtId="170" fontId="7" fillId="0" borderId="1" applyAlignment="1" pivotButton="0" quotePrefix="0" xfId="0">
      <alignment horizontal="center" vertical="bottom"/>
    </xf>
    <xf numFmtId="10" fontId="22" fillId="12" borderId="1" applyAlignment="1" pivotButton="0" quotePrefix="0" xfId="0">
      <alignment horizontal="center" vertical="bottom"/>
    </xf>
    <xf numFmtId="0" fontId="7" fillId="14" borderId="1" applyAlignment="1" pivotButton="0" quotePrefix="0" xfId="0">
      <alignment horizontal="left" vertical="bottom" indent="1"/>
    </xf>
    <xf numFmtId="0" fontId="8" fillId="14" borderId="1" applyAlignment="1" pivotButton="0" quotePrefix="0" xfId="0">
      <alignment horizontal="center" vertical="bottom"/>
    </xf>
    <xf numFmtId="170" fontId="7" fillId="14" borderId="1" applyAlignment="1" pivotButton="0" quotePrefix="0" xfId="0">
      <alignment horizontal="center" vertical="bottom"/>
    </xf>
    <xf numFmtId="0" fontId="4" fillId="2" borderId="0" applyAlignment="1" pivotButton="0" quotePrefix="0" xfId="0">
      <alignment horizontal="general" vertical="center" indent="1"/>
    </xf>
    <xf numFmtId="0" fontId="5" fillId="3" borderId="0" applyAlignment="1" pivotButton="0" quotePrefix="0" xfId="0">
      <alignment horizontal="general" vertical="bottom" indent="1"/>
    </xf>
    <xf numFmtId="170" fontId="20" fillId="0" borderId="1" applyAlignment="1" pivotButton="0" quotePrefix="0" xfId="0">
      <alignment horizontal="center" vertical="bottom"/>
    </xf>
    <xf numFmtId="0" fontId="13" fillId="0" borderId="1" applyAlignment="1" pivotButton="0" quotePrefix="0" xfId="0">
      <alignment horizontal="left" vertical="bottom" indent="1"/>
    </xf>
    <xf numFmtId="170" fontId="20" fillId="5" borderId="1" applyAlignment="1" pivotButton="0" quotePrefix="0" xfId="0">
      <alignment horizontal="center" vertical="bottom"/>
    </xf>
    <xf numFmtId="0" fontId="27" fillId="3" borderId="0" applyAlignment="1" pivotButton="0" quotePrefix="0" xfId="0">
      <alignment horizontal="left" vertical="top" wrapText="1" indent="1"/>
    </xf>
    <xf numFmtId="9" fontId="22" fillId="12" borderId="1" applyAlignment="1" pivotButton="0" quotePrefix="0" xfId="0">
      <alignment horizontal="center" vertical="bottom"/>
    </xf>
    <xf numFmtId="0" fontId="6" fillId="3" borderId="0" applyAlignment="1" pivotButton="0" quotePrefix="0" xfId="0">
      <alignment horizontal="left" vertical="bottom" indent="1"/>
    </xf>
    <xf numFmtId="0" fontId="21" fillId="0" borderId="1" applyAlignment="1" pivotButton="0" quotePrefix="0" xfId="0">
      <alignment horizontal="center" vertical="bottom"/>
    </xf>
    <xf numFmtId="0" fontId="0" fillId="0" borderId="1" applyAlignment="1" pivotButton="0" quotePrefix="0" xfId="0">
      <alignment horizontal="general" vertical="bottom"/>
    </xf>
    <xf numFmtId="3" fontId="22" fillId="12" borderId="1" applyAlignment="1" pivotButton="0" quotePrefix="0" xfId="0">
      <alignment horizontal="center" vertical="bottom"/>
    </xf>
    <xf numFmtId="0" fontId="22" fillId="0" borderId="0" applyAlignment="1" pivotButton="0" quotePrefix="0" xfId="0">
      <alignment horizontal="general" vertical="bottom"/>
    </xf>
    <xf numFmtId="170" fontId="0" fillId="0" borderId="0" applyAlignment="1" pivotButton="0" quotePrefix="0" xfId="0">
      <alignment horizontal="general" vertical="bottom"/>
    </xf>
    <xf numFmtId="3" fontId="20" fillId="0" borderId="1" applyAlignment="1" pivotButton="0" quotePrefix="0" xfId="0">
      <alignment horizontal="center" vertical="bottom"/>
    </xf>
    <xf numFmtId="170" fontId="22" fillId="0" borderId="1" applyAlignment="1" pivotButton="0" quotePrefix="0" xfId="0">
      <alignment horizontal="center" vertical="bottom"/>
    </xf>
    <xf numFmtId="0" fontId="16" fillId="0" borderId="0" applyAlignment="1" pivotButton="0" quotePrefix="0" xfId="0">
      <alignment horizontal="center" vertical="bottom" wrapText="1"/>
    </xf>
    <xf numFmtId="0" fontId="16" fillId="0" borderId="0" applyAlignment="1" pivotButton="0" quotePrefix="0" xfId="0">
      <alignment horizontal="center" vertical="bottom"/>
    </xf>
    <xf numFmtId="3" fontId="22" fillId="0" borderId="1" applyAlignment="1" pivotButton="0" quotePrefix="0" xfId="0">
      <alignment horizontal="center" vertical="bottom"/>
    </xf>
    <xf numFmtId="0" fontId="16" fillId="0" borderId="0" applyAlignment="1" pivotButton="0" quotePrefix="0" xfId="0">
      <alignment horizontal="left" vertical="bottom" indent="1"/>
    </xf>
    <xf numFmtId="0" fontId="6" fillId="4" borderId="0" applyAlignment="1" pivotButton="0" quotePrefix="0" xfId="0">
      <alignment horizontal="general" vertical="bottom" indent="1"/>
    </xf>
    <xf numFmtId="0" fontId="7" fillId="0" borderId="0" applyAlignment="1" pivotButton="0" quotePrefix="0" xfId="0">
      <alignment horizontal="general" vertical="bottom"/>
    </xf>
    <xf numFmtId="0" fontId="29" fillId="15" borderId="1" applyAlignment="1" pivotButton="0" quotePrefix="0" xfId="0">
      <alignment horizontal="center" vertical="bottom"/>
    </xf>
    <xf numFmtId="4" fontId="29" fillId="15" borderId="1" applyAlignment="1" pivotButton="0" quotePrefix="0" xfId="0">
      <alignment horizontal="center" vertical="bottom"/>
    </xf>
    <xf numFmtId="0" fontId="30" fillId="15" borderId="0" applyAlignment="1" pivotButton="0" quotePrefix="0" xfId="0">
      <alignment horizontal="general" vertical="bottom" wrapText="1" indent="1"/>
    </xf>
    <xf numFmtId="0" fontId="7" fillId="12" borderId="0" applyAlignment="1" pivotButton="0" quotePrefix="0" xfId="0">
      <alignment horizontal="general" vertical="bottom" indent="1"/>
    </xf>
    <xf numFmtId="0" fontId="0" fillId="12" borderId="0" applyAlignment="1" pivotButton="0" quotePrefix="0" xfId="0">
      <alignment horizontal="general" vertical="bottom"/>
    </xf>
    <xf numFmtId="0" fontId="13" fillId="12" borderId="0" applyAlignment="1" pivotButton="0" quotePrefix="0" xfId="0">
      <alignment horizontal="left" vertical="bottom" indent="1"/>
    </xf>
    <xf numFmtId="3" fontId="7" fillId="12" borderId="1" applyAlignment="1" pivotButton="0" quotePrefix="0" xfId="0">
      <alignment horizontal="center" vertical="bottom"/>
    </xf>
    <xf numFmtId="2" fontId="8" fillId="0" borderId="1" applyAlignment="1" pivotButton="0" quotePrefix="0" xfId="0">
      <alignment horizontal="center" vertical="bottom"/>
    </xf>
    <xf numFmtId="3" fontId="22" fillId="5" borderId="1" applyAlignment="1" pivotButton="0" quotePrefix="0" xfId="0">
      <alignment horizontal="center" vertical="bottom"/>
    </xf>
    <xf numFmtId="3" fontId="24" fillId="0" borderId="1" applyAlignment="1" pivotButton="0" quotePrefix="0" xfId="0">
      <alignment horizontal="center" vertical="bottom"/>
    </xf>
    <xf numFmtId="165" fontId="20" fillId="0" borderId="1" applyAlignment="1" pivotButton="0" quotePrefix="0" xfId="0">
      <alignment horizontal="center" vertical="bottom"/>
    </xf>
    <xf numFmtId="171" fontId="22" fillId="12" borderId="1" applyAlignment="1" pivotButton="0" quotePrefix="0" xfId="0">
      <alignment horizontal="center" vertical="bottom"/>
    </xf>
    <xf numFmtId="166" fontId="8" fillId="0" borderId="1" applyAlignment="1" pivotButton="0" quotePrefix="0" xfId="0">
      <alignment horizontal="center" vertical="bottom"/>
    </xf>
    <xf numFmtId="3" fontId="11" fillId="0" borderId="1" applyAlignment="1" pivotButton="0" quotePrefix="0" xfId="0">
      <alignment horizontal="center" vertical="bottom"/>
    </xf>
    <xf numFmtId="4" fontId="22" fillId="5" borderId="1" applyAlignment="1" pivotButton="0" quotePrefix="0" xfId="0">
      <alignment horizontal="center" vertical="bottom"/>
    </xf>
    <xf numFmtId="3" fontId="31" fillId="10" borderId="1" applyAlignment="1" pivotButton="0" quotePrefix="0" xfId="0">
      <alignment horizontal="center" vertical="bottom"/>
    </xf>
    <xf numFmtId="0" fontId="13" fillId="14" borderId="0" applyAlignment="1" pivotButton="0" quotePrefix="0" xfId="0">
      <alignment horizontal="left" vertical="bottom" indent="1"/>
    </xf>
    <xf numFmtId="4" fontId="24" fillId="14" borderId="1" applyAlignment="1" pivotButton="0" quotePrefix="0" xfId="0">
      <alignment horizontal="center" vertical="bottom"/>
    </xf>
    <xf numFmtId="4" fontId="7" fillId="14" borderId="1" applyAlignment="1" pivotButton="0" quotePrefix="0" xfId="0">
      <alignment horizontal="center" vertical="bottom"/>
    </xf>
    <xf numFmtId="0" fontId="17" fillId="0" borderId="1" applyAlignment="1" pivotButton="0" quotePrefix="0" xfId="0">
      <alignment horizontal="general" vertical="bottom"/>
    </xf>
    <xf numFmtId="0" fontId="36" fillId="0" borderId="0" applyAlignment="1" pivotButton="0" quotePrefix="0" xfId="0">
      <alignment horizontal="general" vertical="bottom"/>
    </xf>
    <xf numFmtId="3" fontId="36" fillId="0" borderId="1"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general" vertical="bottom"/>
    </xf>
    <xf numFmtId="3" fontId="36" fillId="0" borderId="0" applyAlignment="1" pivotButton="0" quotePrefix="0" xfId="0">
      <alignment horizontal="general" vertical="bottom"/>
    </xf>
    <xf numFmtId="0" fontId="36" fillId="0" borderId="1" applyAlignment="1" pivotButton="0" quotePrefix="0" xfId="0">
      <alignment horizontal="left" vertical="bottom" indent="1"/>
    </xf>
    <xf numFmtId="0" fontId="35" fillId="18" borderId="0" applyAlignment="1" pivotButton="0" quotePrefix="0" xfId="0">
      <alignment horizontal="left" vertical="top" wrapText="1"/>
    </xf>
    <xf numFmtId="0" fontId="0" fillId="18" borderId="0" pivotButton="0" quotePrefix="0" xfId="0"/>
    <xf numFmtId="0" fontId="36" fillId="5" borderId="0" applyAlignment="1" pivotButton="0" quotePrefix="0" xfId="0">
      <alignment horizontal="left" vertical="top" wrapText="1" indent="1"/>
    </xf>
    <xf numFmtId="0" fontId="35" fillId="18" borderId="1" applyAlignment="1" pivotButton="0" quotePrefix="0" xfId="0">
      <alignment horizontal="left" vertical="bottom" indent="1"/>
    </xf>
    <xf numFmtId="0" fontId="0" fillId="18" borderId="2" pivotButton="0" quotePrefix="0" xfId="0"/>
    <xf numFmtId="0" fontId="0" fillId="18" borderId="3" pivotButton="0" quotePrefix="0" xfId="0"/>
    <xf numFmtId="0" fontId="36" fillId="3" borderId="0" applyAlignment="1" pivotButton="0" quotePrefix="0" xfId="0">
      <alignment horizontal="left" vertical="top" wrapText="1"/>
    </xf>
    <xf numFmtId="0" fontId="35" fillId="18" borderId="0" applyAlignment="1" pivotButton="0" quotePrefix="0" xfId="0">
      <alignment horizontal="left" vertical="top" wrapText="1" indent="1"/>
    </xf>
    <xf numFmtId="0" fontId="37" fillId="17" borderId="1" applyAlignment="1" pivotButton="0" quotePrefix="0" xfId="0">
      <alignment horizontal="center" wrapText="1"/>
    </xf>
    <xf numFmtId="0" fontId="36" fillId="0" borderId="0" applyAlignment="1" pivotButton="0" quotePrefix="0" xfId="0">
      <alignment horizontal="general" vertical="bottom" indent="1"/>
    </xf>
    <xf numFmtId="3" fontId="38" fillId="0" borderId="1" applyAlignment="1" pivotButton="0" quotePrefix="0" xfId="0">
      <alignment horizontal="center" vertical="bottom"/>
    </xf>
    <xf numFmtId="0" fontId="34" fillId="0" borderId="1" applyAlignment="1" pivotButton="0" quotePrefix="0" xfId="0">
      <alignment horizontal="center" vertical="bottom"/>
    </xf>
    <xf numFmtId="9" fontId="33" fillId="12" borderId="1" applyAlignment="1" pivotButton="0" quotePrefix="0" xfId="0">
      <alignment horizontal="center" vertical="bottom"/>
    </xf>
    <xf numFmtId="2" fontId="24" fillId="0" borderId="1" applyAlignment="1" pivotButton="0" quotePrefix="0" xfId="0">
      <alignment horizontal="center" vertical="bottom"/>
    </xf>
    <xf numFmtId="0" fontId="33" fillId="0" borderId="1" applyAlignment="1" pivotButton="0" quotePrefix="0" xfId="0">
      <alignment horizontal="center" vertical="bottom"/>
    </xf>
    <xf numFmtId="0" fontId="36" fillId="3" borderId="0" applyAlignment="1" pivotButton="0" quotePrefix="0" xfId="0">
      <alignment horizontal="left" vertical="bottom" indent="1"/>
    </xf>
    <xf numFmtId="0" fontId="38" fillId="0" borderId="0" pivotButton="0" quotePrefix="0" xfId="0"/>
    <xf numFmtId="9" fontId="33" fillId="0" borderId="0" pivotButton="0" quotePrefix="0" xfId="0"/>
    <xf numFmtId="2" fontId="0" fillId="0" borderId="0" pivotButton="0" quotePrefix="0" xfId="0"/>
    <xf numFmtId="0" fontId="33" fillId="0" borderId="0" pivotButton="0" quotePrefix="0" xfId="0"/>
    <xf numFmtId="0" fontId="35" fillId="18" borderId="0" pivotButton="0" quotePrefix="0" xfId="0"/>
    <xf numFmtId="0" fontId="36" fillId="0" borderId="0" applyAlignment="1" pivotButton="0" quotePrefix="0" xfId="0">
      <alignment horizontal="left" vertical="top" wrapText="1" indent="1"/>
    </xf>
    <xf numFmtId="0" fontId="0" fillId="0" borderId="2" pivotButton="0" quotePrefix="0" xfId="0"/>
    <xf numFmtId="0" fontId="0" fillId="0" borderId="3" pivotButton="0" quotePrefix="0" xfId="0"/>
    <xf numFmtId="0" fontId="36" fillId="0" borderId="0" applyAlignment="1" pivotButton="0" quotePrefix="0" xfId="0">
      <alignment horizontal="left" vertical="top" wrapText="1"/>
    </xf>
    <xf numFmtId="0" fontId="27" fillId="0" borderId="0" applyAlignment="1" pivotButton="0" quotePrefix="0" xfId="0">
      <alignment horizontal="left" vertical="top" wrapText="1"/>
    </xf>
    <xf numFmtId="0" fontId="28" fillId="0" borderId="0" applyAlignment="1" pivotButton="0" quotePrefix="0" xfId="0">
      <alignment horizontal="left" vertical="top" wrapText="1" indent="1"/>
    </xf>
    <xf numFmtId="3" fontId="33" fillId="16" borderId="4" applyAlignment="1" pivotButton="0" quotePrefix="0" xfId="0">
      <alignment horizontal="center" vertical="bottom"/>
    </xf>
    <xf numFmtId="164" fontId="33" fillId="12" borderId="1" applyAlignment="1" pivotButton="0" quotePrefix="0" xfId="0">
      <alignment horizontal="center" vertical="bottom"/>
    </xf>
    <xf numFmtId="0" fontId="35" fillId="0" borderId="0" applyAlignment="1" pivotButton="0" quotePrefix="0" xfId="0">
      <alignment horizontal="left" vertical="bottom" indent="1"/>
    </xf>
    <xf numFmtId="164" fontId="33" fillId="0" borderId="0" pivotButton="0" quotePrefix="0" xfId="0"/>
    <xf numFmtId="0" fontId="39" fillId="0" borderId="0" pivotButton="0" quotePrefix="0" xfId="0"/>
    <xf numFmtId="0" fontId="33" fillId="16" borderId="4" pivotButton="0" quotePrefix="0" xfId="0"/>
    <xf numFmtId="0" fontId="37" fillId="17" borderId="4" applyAlignment="1" pivotButton="0" quotePrefix="0" xfId="0">
      <alignment horizontal="center" wrapText="1"/>
    </xf>
    <xf numFmtId="0" fontId="38" fillId="0" borderId="4" pivotButton="0" quotePrefix="0" xfId="0"/>
    <xf numFmtId="0" fontId="33" fillId="0" borderId="4" pivotButton="0" quotePrefix="0" xfId="0"/>
    <xf numFmtId="0" fontId="0" fillId="0" borderId="4" pivotButton="0" quotePrefix="0" xfId="0"/>
    <xf numFmtId="0" fontId="32" fillId="0" borderId="0" pivotButton="0" quotePrefix="0" xfId="0"/>
    <xf numFmtId="0" fontId="35" fillId="3" borderId="0" applyAlignment="1" pivotButton="0" quotePrefix="0" xfId="0">
      <alignment horizontal="left" vertical="top" wrapText="1"/>
    </xf>
    <xf numFmtId="0" fontId="35" fillId="0" borderId="1" applyAlignment="1" pivotButton="0" quotePrefix="0" xfId="0">
      <alignment horizontal="left" vertical="bottom" indent="1"/>
    </xf>
    <xf numFmtId="0" fontId="32" fillId="0" borderId="0" applyAlignment="1" pivotButton="0" quotePrefix="0" xfId="0">
      <alignment horizontal="left" vertical="top" wrapText="1" indent="1"/>
    </xf>
    <xf numFmtId="0" fontId="32" fillId="0" borderId="0" applyAlignment="1" pivotButton="0" quotePrefix="0" xfId="0">
      <alignment horizontal="general" vertical="bottom" indent="1"/>
    </xf>
    <xf numFmtId="0" fontId="32" fillId="3" borderId="0" applyAlignment="1" pivotButton="0" quotePrefix="0" xfId="0">
      <alignment horizontal="left" vertical="bottom" indent="1"/>
    </xf>
    <xf numFmtId="0" fontId="37" fillId="17" borderId="0" applyAlignment="1" pivotButton="0" quotePrefix="0" xfId="0">
      <alignment horizontal="center" wrapText="1"/>
    </xf>
    <xf numFmtId="3" fontId="33" fillId="16" borderId="4" applyAlignment="1" pivotButton="0" quotePrefix="0" xfId="0">
      <alignment horizontal="left" vertical="bottom" indent="1"/>
    </xf>
    <xf numFmtId="3" fontId="39" fillId="0" borderId="1" applyAlignment="1" pivotButton="0" quotePrefix="0" xfId="0">
      <alignment horizontal="center" vertical="bottom"/>
    </xf>
    <xf numFmtId="0" fontId="39" fillId="0" borderId="0" applyAlignment="1" pivotButton="0" quotePrefix="0" xfId="0">
      <alignment horizontal="general" vertical="bottom"/>
    </xf>
    <xf numFmtId="0" fontId="27" fillId="3" borderId="7" applyAlignment="1" pivotButton="0" quotePrefix="0" xfId="0">
      <alignment horizontal="left" vertical="top" wrapText="1"/>
    </xf>
    <xf numFmtId="0" fontId="0" fillId="0" borderId="9" pivotButton="0" quotePrefix="0" xfId="0"/>
    <xf numFmtId="0" fontId="0" fillId="0" borderId="7" pivotButton="0" quotePrefix="0" xfId="0"/>
    <xf numFmtId="0" fontId="12" fillId="2" borderId="7" applyAlignment="1" pivotButton="0" quotePrefix="0" xfId="0">
      <alignment horizontal="left" vertical="center" indent="1"/>
    </xf>
    <xf numFmtId="0" fontId="28" fillId="5" borderId="7" applyAlignment="1" pivotButton="0" quotePrefix="0" xfId="0">
      <alignment horizontal="left" vertical="top" wrapText="1" indent="1"/>
    </xf>
    <xf numFmtId="0" fontId="8" fillId="0" borderId="7" applyAlignment="1" pivotButton="0" quotePrefix="0" xfId="0">
      <alignment horizontal="general" vertical="bottom" indent="1"/>
    </xf>
    <xf numFmtId="0" fontId="35" fillId="3" borderId="7" applyAlignment="1" pivotButton="0" quotePrefix="0" xfId="0">
      <alignment horizontal="left" vertical="top" wrapText="1"/>
    </xf>
    <xf numFmtId="172" fontId="20" fillId="12" borderId="1" applyAlignment="1" pivotButton="0" quotePrefix="0" xfId="0">
      <alignment horizontal="center" vertical="bottom"/>
    </xf>
    <xf numFmtId="172" fontId="8" fillId="0" borderId="1" applyAlignment="1" pivotButton="0" quotePrefix="0" xfId="0">
      <alignment horizontal="center" vertical="bottom"/>
    </xf>
    <xf numFmtId="172" fontId="0" fillId="0" borderId="0" applyAlignment="1" pivotButton="0" quotePrefix="0" xfId="0">
      <alignment horizontal="general" vertical="bottom"/>
    </xf>
    <xf numFmtId="172" fontId="20" fillId="0" borderId="1" applyAlignment="1" pivotButton="0" quotePrefix="0" xfId="0">
      <alignment horizontal="center" vertical="bottom"/>
    </xf>
    <xf numFmtId="172" fontId="7" fillId="12" borderId="1" applyAlignment="1" pivotButton="0" quotePrefix="0" xfId="0">
      <alignment horizontal="center" vertical="bottom"/>
    </xf>
    <xf numFmtId="172" fontId="7" fillId="0" borderId="1" applyAlignment="1" pivotButton="0" quotePrefix="0" xfId="0">
      <alignment horizontal="center" vertical="bottom"/>
    </xf>
    <xf numFmtId="172" fontId="7" fillId="14" borderId="1" applyAlignment="1" pivotButton="0" quotePrefix="0" xfId="0">
      <alignment horizontal="center" vertical="bottom"/>
    </xf>
    <xf numFmtId="172" fontId="20" fillId="5" borderId="1" applyAlignment="1" pivotButton="0" quotePrefix="0" xfId="0">
      <alignment horizontal="center" vertical="bottom"/>
    </xf>
    <xf numFmtId="172" fontId="22" fillId="12" borderId="1" applyAlignment="1" pivotButton="0" quotePrefix="0" xfId="0">
      <alignment horizontal="center" vertical="bottom"/>
    </xf>
    <xf numFmtId="10" fontId="22" fillId="5" borderId="1" applyAlignment="1" pivotButton="0" quotePrefix="0" xfId="0">
      <alignment horizontal="center" vertical="bottom"/>
    </xf>
    <xf numFmtId="172" fontId="0" fillId="0" borderId="0" pivotButton="0" quotePrefix="0" xfId="0"/>
    <xf numFmtId="172" fontId="21" fillId="0" borderId="1" applyAlignment="1" pivotButton="0" quotePrefix="0" xfId="0">
      <alignment horizontal="center" vertical="bottom"/>
    </xf>
    <xf numFmtId="172" fontId="0" fillId="0" borderId="1" applyAlignment="1" pivotButton="0" quotePrefix="0" xfId="0">
      <alignment horizontal="general" vertical="bottom"/>
    </xf>
    <xf numFmtId="172" fontId="0" fillId="0" borderId="2" pivotButton="0" quotePrefix="0" xfId="0"/>
    <xf numFmtId="172" fontId="0" fillId="0" borderId="3" pivotButton="0" quotePrefix="0" xfId="0"/>
    <xf numFmtId="172" fontId="0" fillId="0" borderId="9" pivotButton="0" quotePrefix="0" xfId="0"/>
    <xf numFmtId="172" fontId="0" fillId="0" borderId="7" pivotButton="0" quotePrefix="0" xfId="0"/>
    <xf numFmtId="172" fontId="8" fillId="12" borderId="1" applyAlignment="1" pivotButton="0" quotePrefix="0" xfId="0">
      <alignment horizontal="center" vertical="bottom"/>
    </xf>
    <xf numFmtId="172" fontId="8" fillId="14" borderId="1" applyAlignment="1" pivotButton="0" quotePrefix="0" xfId="0">
      <alignment horizontal="center" vertical="bottom"/>
    </xf>
    <xf numFmtId="0" fontId="32" fillId="0" borderId="10" pivotButton="0" quotePrefix="0" xfId="0"/>
    <xf numFmtId="9" fontId="22" fillId="5" borderId="1" applyAlignment="1" pivotButton="0" quotePrefix="0" xfId="0">
      <alignment horizontal="center" vertical="bottom"/>
    </xf>
    <xf numFmtId="172" fontId="32" fillId="0" borderId="10" pivotButton="0" quotePrefix="0" xfId="0"/>
    <xf numFmtId="0" fontId="32" fillId="0" borderId="11" pivotButton="0" quotePrefix="0" xfId="0"/>
    <xf numFmtId="0" fontId="40" fillId="19" borderId="10" pivotButton="0" quotePrefix="0" xfId="0"/>
    <xf numFmtId="0" fontId="41" fillId="0" borderId="10" pivotButton="0" quotePrefix="0" xfId="0"/>
    <xf numFmtId="0" fontId="42" fillId="20" borderId="10" applyAlignment="1" pivotButton="0" quotePrefix="0" xfId="0">
      <alignment horizontal="left" vertical="center"/>
    </xf>
    <xf numFmtId="0" fontId="39" fillId="0" borderId="12" applyAlignment="1" pivotButton="0" quotePrefix="0" xfId="0">
      <alignment horizontal="center" vertical="center" wrapText="1"/>
    </xf>
    <xf numFmtId="0" fontId="43" fillId="0" borderId="12" applyAlignment="1" pivotButton="0" quotePrefix="0" xfId="0">
      <alignment horizontal="center" vertical="center" wrapText="1"/>
    </xf>
    <xf numFmtId="3" fontId="38" fillId="0" borderId="13" applyAlignment="1" pivotButton="0" quotePrefix="0" xfId="0">
      <alignment horizontal="center" vertical="center"/>
    </xf>
    <xf numFmtId="172" fontId="36" fillId="0" borderId="13" applyAlignment="1" pivotButton="0" quotePrefix="0" xfId="0">
      <alignment horizontal="center" vertical="center"/>
    </xf>
    <xf numFmtId="3" fontId="44" fillId="0" borderId="13" applyAlignment="1" pivotButton="0" quotePrefix="0" xfId="0">
      <alignment horizontal="center" vertical="center"/>
    </xf>
    <xf numFmtId="4" fontId="36" fillId="0" borderId="13" applyAlignment="1" pivotButton="0" quotePrefix="0" xfId="0">
      <alignment horizontal="center" vertical="center"/>
    </xf>
    <xf numFmtId="0" fontId="43" fillId="0" borderId="10" applyAlignment="1" pivotButton="0" quotePrefix="0" xfId="0">
      <alignment horizontal="left" vertical="center"/>
    </xf>
    <xf numFmtId="0" fontId="43" fillId="0" borderId="13" applyAlignment="1" pivotButton="0" quotePrefix="0" xfId="0">
      <alignment horizontal="center" vertical="center"/>
    </xf>
    <xf numFmtId="172" fontId="45" fillId="21" borderId="13" applyAlignment="1" pivotButton="0" quotePrefix="0" xfId="0">
      <alignment horizontal="center" vertical="center"/>
    </xf>
    <xf numFmtId="172" fontId="38" fillId="0" borderId="13" applyAlignment="1" pivotButton="0" quotePrefix="0" xfId="0">
      <alignment horizontal="center" vertical="center"/>
    </xf>
    <xf numFmtId="0" fontId="46" fillId="21" borderId="10" applyAlignment="1" pivotButton="0" quotePrefix="0" xfId="0">
      <alignment horizontal="left" vertical="center"/>
    </xf>
    <xf numFmtId="0" fontId="46" fillId="21" borderId="10" pivotButton="0" quotePrefix="0" xfId="0"/>
    <xf numFmtId="172" fontId="46" fillId="21" borderId="10" pivotButton="0" quotePrefix="0" xfId="0"/>
    <xf numFmtId="0" fontId="43" fillId="0" borderId="1" applyAlignment="1" pivotButton="0" quotePrefix="0" xfId="0">
      <alignment horizontal="left" vertical="bottom" indent="1"/>
    </xf>
    <xf numFmtId="172" fontId="43" fillId="0" borderId="1" applyAlignment="1" pivotButton="0" quotePrefix="0" xfId="0">
      <alignment horizontal="center"/>
    </xf>
    <xf numFmtId="172" fontId="39" fillId="21" borderId="13" applyAlignment="1" pivotButton="0" quotePrefix="0" xfId="0">
      <alignment horizontal="center"/>
    </xf>
    <xf numFmtId="9" fontId="38" fillId="0" borderId="13" applyAlignment="1" pivotButton="0" quotePrefix="0" xfId="0">
      <alignment horizontal="center" vertical="center"/>
    </xf>
    <xf numFmtId="0" fontId="39" fillId="0" borderId="10" pivotButton="0" quotePrefix="0" xfId="0"/>
    <xf numFmtId="0" fontId="35" fillId="0" borderId="10" pivotButton="0" quotePrefix="0" xfId="0"/>
    <xf numFmtId="0" fontId="39" fillId="0" borderId="12" applyAlignment="1" pivotButton="0" quotePrefix="0" xfId="0">
      <alignment horizontal="left" vertical="center"/>
    </xf>
    <xf numFmtId="0" fontId="34" fillId="0" borderId="10" applyAlignment="1" pivotButton="0" quotePrefix="0" xfId="0">
      <alignment horizontal="left" vertical="center"/>
    </xf>
    <xf numFmtId="4" fontId="36" fillId="22" borderId="13" applyAlignment="1" pivotButton="0" quotePrefix="0" xfId="0">
      <alignment horizontal="center" vertical="center"/>
    </xf>
    <xf numFmtId="0" fontId="34" fillId="0" borderId="10" applyAlignment="1" pivotButton="0" quotePrefix="0" xfId="0">
      <alignment horizontal="center"/>
    </xf>
    <xf numFmtId="172" fontId="36" fillId="22" borderId="13" applyAlignment="1" pivotButton="0" quotePrefix="0" xfId="0">
      <alignment horizontal="center" vertical="center"/>
    </xf>
    <xf numFmtId="3" fontId="36" fillId="22" borderId="13" applyAlignment="1" pivotButton="0" quotePrefix="0" xfId="0">
      <alignment horizontal="center" vertical="center"/>
    </xf>
    <xf numFmtId="4" fontId="34" fillId="22" borderId="13" applyAlignment="1" pivotButton="0" quotePrefix="0" xfId="0">
      <alignment horizontal="center" vertical="center"/>
    </xf>
    <xf numFmtId="0" fontId="36" fillId="0" borderId="10" applyAlignment="1" pivotButton="0" quotePrefix="0" xfId="0">
      <alignment horizontal="left" vertical="center"/>
    </xf>
    <xf numFmtId="0" fontId="32" fillId="0" borderId="10" applyAlignment="1" pivotButton="0" quotePrefix="0" xfId="0">
      <alignment horizontal="center"/>
    </xf>
    <xf numFmtId="0" fontId="47" fillId="0" borderId="10" applyAlignment="1" pivotButton="0" quotePrefix="0" xfId="0">
      <alignment horizontal="left" vertical="center"/>
    </xf>
    <xf numFmtId="0" fontId="43" fillId="0" borderId="10" applyAlignment="1" pivotButton="0" quotePrefix="0" xfId="0">
      <alignment horizontal="center"/>
    </xf>
    <xf numFmtId="172" fontId="45" fillId="23" borderId="13" applyAlignment="1" pivotButton="0" quotePrefix="0" xfId="0">
      <alignment horizontal="center" vertical="center"/>
    </xf>
    <xf numFmtId="0" fontId="48" fillId="0" borderId="10" applyAlignment="1" pivotButton="0" quotePrefix="0" xfId="0">
      <alignment horizontal="left" vertical="center"/>
    </xf>
    <xf numFmtId="0" fontId="49" fillId="19" borderId="10" applyAlignment="1" pivotButton="0" quotePrefix="0" xfId="0">
      <alignment horizontal="left" vertical="center" wrapText="1"/>
    </xf>
    <xf numFmtId="0" fontId="41" fillId="24" borderId="10" applyAlignment="1" pivotButton="0" quotePrefix="0" xfId="0">
      <alignment horizontal="left" vertical="center" wrapText="1"/>
    </xf>
    <xf numFmtId="0" fontId="50" fillId="20" borderId="10" applyAlignment="1" pivotButton="0" quotePrefix="0" xfId="0">
      <alignment horizontal="left" vertical="center" wrapText="1"/>
    </xf>
    <xf numFmtId="172" fontId="38" fillId="0" borderId="4" applyAlignment="1" pivotButton="0" quotePrefix="0" xfId="0">
      <alignment horizontal="center" vertical="center"/>
    </xf>
    <xf numFmtId="9" fontId="38" fillId="0" borderId="4" applyAlignment="1" pivotButton="0" quotePrefix="0" xfId="0">
      <alignment horizontal="center" vertical="center"/>
    </xf>
    <xf numFmtId="172" fontId="45" fillId="21" borderId="4" applyAlignment="1" pivotButton="0" quotePrefix="0" xfId="0">
      <alignment horizontal="center" vertical="center"/>
    </xf>
    <xf numFmtId="0" fontId="35" fillId="25" borderId="10" applyAlignment="1" pivotButton="0" quotePrefix="0" xfId="0">
      <alignment horizontal="left" vertical="center" wrapText="1"/>
    </xf>
    <xf numFmtId="0" fontId="43" fillId="0" borderId="14" applyAlignment="1" pivotButton="0" quotePrefix="0" xfId="0">
      <alignment horizontal="center" vertical="center" wrapText="1"/>
    </xf>
    <xf numFmtId="3" fontId="38" fillId="0" borderId="4" applyAlignment="1" pivotButton="0" quotePrefix="0" xfId="0">
      <alignment horizontal="center" vertical="center"/>
    </xf>
    <xf numFmtId="172" fontId="36" fillId="0" borderId="4" applyAlignment="1" pivotButton="0" quotePrefix="0" xfId="0">
      <alignment horizontal="center" vertical="center"/>
    </xf>
    <xf numFmtId="3" fontId="44" fillId="0" borderId="4" applyAlignment="1" pivotButton="0" quotePrefix="0" xfId="0">
      <alignment horizontal="center" vertical="center"/>
    </xf>
    <xf numFmtId="4" fontId="36" fillId="0" borderId="4" applyAlignment="1" pivotButton="0" quotePrefix="0" xfId="0">
      <alignment horizontal="center" vertical="center"/>
    </xf>
    <xf numFmtId="172" fontId="45" fillId="0" borderId="4" applyAlignment="1" pivotButton="0" quotePrefix="0" xfId="0">
      <alignment horizontal="center" vertical="center"/>
    </xf>
    <xf numFmtId="0" fontId="43" fillId="0" borderId="4" applyAlignment="1" pivotButton="0" quotePrefix="0" xfId="0">
      <alignment horizontal="center" vertical="center"/>
    </xf>
    <xf numFmtId="0" fontId="51" fillId="22" borderId="10" applyAlignment="1" pivotButton="0" quotePrefix="0" xfId="0">
      <alignment horizontal="left" vertical="center"/>
    </xf>
    <xf numFmtId="4" fontId="36" fillId="22" borderId="4" applyAlignment="1" pivotButton="0" quotePrefix="0" xfId="0">
      <alignment horizontal="center" vertical="center"/>
    </xf>
    <xf numFmtId="0" fontId="34" fillId="22" borderId="10" applyAlignment="1" pivotButton="0" quotePrefix="0" xfId="0">
      <alignment horizontal="center"/>
    </xf>
    <xf numFmtId="0" fontId="32" fillId="22" borderId="10" pivotButton="0" quotePrefix="0" xfId="0"/>
    <xf numFmtId="172" fontId="36" fillId="22" borderId="4" applyAlignment="1" pivotButton="0" quotePrefix="0" xfId="0">
      <alignment horizontal="center" vertical="center"/>
    </xf>
    <xf numFmtId="3" fontId="36" fillId="22" borderId="4" applyAlignment="1" pivotButton="0" quotePrefix="0" xfId="0">
      <alignment horizontal="center" vertical="center"/>
    </xf>
    <xf numFmtId="0" fontId="47" fillId="23" borderId="15" applyAlignment="1" pivotButton="0" quotePrefix="0" xfId="0">
      <alignment horizontal="left" vertical="center"/>
    </xf>
    <xf numFmtId="0" fontId="32" fillId="23" borderId="15" pivotButton="0" quotePrefix="0" xfId="0"/>
    <xf numFmtId="0" fontId="43" fillId="23" borderId="15" applyAlignment="1" pivotButton="0" quotePrefix="0" xfId="0">
      <alignment horizontal="center"/>
    </xf>
    <xf numFmtId="172" fontId="52" fillId="23" borderId="15" applyAlignment="1" pivotButton="0" quotePrefix="0" xfId="0">
      <alignment horizontal="center" vertical="center"/>
    </xf>
    <xf numFmtId="0" fontId="53" fillId="21" borderId="10" applyAlignment="1" pivotButton="0" quotePrefix="0" xfId="0">
      <alignment horizontal="left" vertical="center" wrapText="1"/>
    </xf>
    <xf numFmtId="172" fontId="53" fillId="21" borderId="4" applyAlignment="1" pivotButton="0" quotePrefix="0" xfId="0">
      <alignment horizontal="center" vertical="center"/>
    </xf>
    <xf numFmtId="9" fontId="36" fillId="22" borderId="4" applyAlignment="1" pivotButton="0" quotePrefix="0" xfId="0">
      <alignment horizontal="center" vertical="center"/>
    </xf>
    <xf numFmtId="0" fontId="54" fillId="22" borderId="10" applyAlignment="1" pivotButton="0" quotePrefix="0" xfId="0">
      <alignment horizontal="left" vertical="center"/>
    </xf>
    <xf numFmtId="0" fontId="55" fillId="26" borderId="16" applyAlignment="1" pivotButton="0" quotePrefix="0" xfId="0">
      <alignment horizontal="left" vertical="center"/>
    </xf>
    <xf numFmtId="0" fontId="32" fillId="26" borderId="16" pivotButton="0" quotePrefix="0" xfId="0"/>
    <xf numFmtId="172" fontId="52" fillId="26" borderId="16" applyAlignment="1" pivotButton="0" quotePrefix="0" xfId="0">
      <alignment horizontal="center" vertical="center"/>
    </xf>
    <xf numFmtId="0" fontId="56" fillId="27" borderId="17" applyAlignment="1" pivotButton="0" quotePrefix="0" xfId="0">
      <alignment horizontal="left" vertical="center" wrapText="1"/>
    </xf>
    <xf numFmtId="0" fontId="56" fillId="27" borderId="17" applyAlignment="1" pivotButton="0" quotePrefix="0" xfId="0">
      <alignment horizontal="center" vertical="center" wrapText="1"/>
    </xf>
    <xf numFmtId="0" fontId="8" fillId="0" borderId="17" applyAlignment="1" pivotButton="0" quotePrefix="0" xfId="0">
      <alignment horizontal="left" vertical="center"/>
    </xf>
    <xf numFmtId="1" fontId="22" fillId="12" borderId="17" applyAlignment="1" pivotButton="0" quotePrefix="0" xfId="0">
      <alignment horizontal="center" vertical="center"/>
    </xf>
    <xf numFmtId="2" fontId="0" fillId="0" borderId="17" applyAlignment="1" pivotButton="0" quotePrefix="0" xfId="0">
      <alignment horizontal="center" vertical="center"/>
    </xf>
    <xf numFmtId="172" fontId="0" fillId="0" borderId="17" applyAlignment="1" pivotButton="0" quotePrefix="0" xfId="0">
      <alignment horizontal="center" vertical="center"/>
    </xf>
    <xf numFmtId="0" fontId="57" fillId="28" borderId="18" applyAlignment="1" pivotButton="0" quotePrefix="0" xfId="0">
      <alignment horizontal="left" vertical="center"/>
    </xf>
    <xf numFmtId="1" fontId="57" fillId="28" borderId="18" applyAlignment="1" pivotButton="0" quotePrefix="0" xfId="0">
      <alignment horizontal="center" vertical="center"/>
    </xf>
    <xf numFmtId="2" fontId="57" fillId="28" borderId="18" applyAlignment="1" pivotButton="0" quotePrefix="0" xfId="0">
      <alignment horizontal="center" vertical="center"/>
    </xf>
    <xf numFmtId="172" fontId="57" fillId="28" borderId="18" applyAlignment="1" pivotButton="0" quotePrefix="0" xfId="0">
      <alignment horizontal="center" vertical="center"/>
    </xf>
    <xf numFmtId="1" fontId="0" fillId="0" borderId="17" applyAlignment="1" pivotButton="0" quotePrefix="0" xfId="0">
      <alignment horizontal="center" vertical="center"/>
    </xf>
    <xf numFmtId="0" fontId="32" fillId="0" borderId="10" applyAlignment="1" pivotButton="0" quotePrefix="0" xfId="0">
      <alignment horizontal="left" vertical="center"/>
    </xf>
    <xf numFmtId="172" fontId="57" fillId="29" borderId="17" applyAlignment="1" pivotButton="0" quotePrefix="0" xfId="0">
      <alignment horizontal="center" vertical="center"/>
    </xf>
    <xf numFmtId="0" fontId="0" fillId="0" borderId="0" applyAlignment="1" pivotButton="0" quotePrefix="0" xfId="0">
      <alignment horizontal="left" vertical="center"/>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12" fillId="6" borderId="0" applyAlignment="1" pivotButton="0" quotePrefix="0" xfId="0">
      <alignment horizontal="left" vertical="center" wrapText="1"/>
    </xf>
    <xf numFmtId="0" fontId="13" fillId="7" borderId="0" applyAlignment="1" pivotButton="0" quotePrefix="0" xfId="0">
      <alignment horizontal="left" vertical="center" wrapText="1"/>
    </xf>
    <xf numFmtId="0" fontId="6" fillId="4" borderId="0" applyAlignment="1" pivotButton="0" quotePrefix="0" xfId="0">
      <alignment horizontal="left" vertical="center" wrapText="1"/>
    </xf>
    <xf numFmtId="0" fontId="6" fillId="13" borderId="0" applyAlignment="1" pivotButton="0" quotePrefix="0" xfId="0">
      <alignment horizontal="left" vertical="center" wrapText="1"/>
    </xf>
    <xf numFmtId="0" fontId="35" fillId="0" borderId="0" applyAlignment="1" pivotButton="0" quotePrefix="0" xfId="0">
      <alignment horizontal="left" vertical="center" wrapText="1"/>
    </xf>
    <xf numFmtId="0" fontId="35" fillId="18" borderId="0" applyAlignment="1" pivotButton="0" quotePrefix="0" xfId="0">
      <alignment horizontal="left" vertical="center" wrapText="1"/>
    </xf>
    <xf numFmtId="0" fontId="32" fillId="0" borderId="11" applyAlignment="1" pivotButton="0" quotePrefix="0" xfId="0">
      <alignment horizontal="left" vertical="center" wrapText="1"/>
    </xf>
    <xf numFmtId="0" fontId="0" fillId="0" borderId="0" applyAlignment="1" pivotButton="0" quotePrefix="0" xfId="0">
      <alignment horizontal="left" vertical="center" wrapText="1"/>
    </xf>
    <xf numFmtId="0" fontId="30" fillId="15"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horizontal="general" vertical="center"/>
    </xf>
    <xf numFmtId="0" fontId="13" fillId="0" borderId="0" applyAlignment="1" pivotButton="0" quotePrefix="0" xfId="0">
      <alignment horizontal="general" vertical="center"/>
    </xf>
    <xf numFmtId="0" fontId="13" fillId="11" borderId="0" applyAlignment="1" pivotButton="0" quotePrefix="0" xfId="0">
      <alignment horizontal="general" vertical="center"/>
    </xf>
    <xf numFmtId="0" fontId="13" fillId="0" borderId="0" applyAlignment="1" pivotButton="0" quotePrefix="0" xfId="0">
      <alignment horizontal="left" vertical="center"/>
    </xf>
    <xf numFmtId="0" fontId="0" fillId="0" borderId="0" applyAlignment="1" pivotButton="0" quotePrefix="0" xfId="0">
      <alignment horizontal="general" vertical="center"/>
    </xf>
    <xf numFmtId="0" fontId="35" fillId="0" borderId="0" applyAlignment="1" pivotButton="0" quotePrefix="0" xfId="0">
      <alignment horizontal="general" vertical="center"/>
    </xf>
    <xf numFmtId="0" fontId="35" fillId="0" borderId="0" applyAlignment="1" pivotButton="0" quotePrefix="0" xfId="0">
      <alignment horizontal="left" vertical="center"/>
    </xf>
    <xf numFmtId="0" fontId="38" fillId="0" borderId="4" applyAlignment="1" pivotButton="0" quotePrefix="0" xfId="0">
      <alignment horizontal="left" vertical="center"/>
    </xf>
    <xf numFmtId="3" fontId="8" fillId="0" borderId="1" applyAlignment="1" pivotButton="0" quotePrefix="0" xfId="0">
      <alignment horizontal="center" vertical="center"/>
    </xf>
    <xf numFmtId="3" fontId="7" fillId="14" borderId="1" applyAlignment="1" pivotButton="0" quotePrefix="0" xfId="0">
      <alignment horizontal="center" vertical="center"/>
    </xf>
    <xf numFmtId="0" fontId="13" fillId="11" borderId="1" applyAlignment="1" pivotButton="0" quotePrefix="0" xfId="0">
      <alignment horizontal="center" vertical="center"/>
    </xf>
    <xf numFmtId="172" fontId="8" fillId="0" borderId="1" applyAlignment="1" pivotButton="0" quotePrefix="0" xfId="0">
      <alignment horizontal="center" vertical="center"/>
    </xf>
    <xf numFmtId="172" fontId="45" fillId="0" borderId="4" applyAlignment="1" pivotButton="0" quotePrefix="0" xfId="0">
      <alignment horizontal="center" vertical="center"/>
    </xf>
    <xf numFmtId="172" fontId="45" fillId="21" borderId="4" applyAlignment="1" pivotButton="0" quotePrefix="0" xfId="0">
      <alignment horizontal="center" vertical="center"/>
    </xf>
    <xf numFmtId="172" fontId="36" fillId="22" borderId="4" applyAlignment="1" pivotButton="0" quotePrefix="0" xfId="0">
      <alignment horizontal="center" vertical="center"/>
    </xf>
    <xf numFmtId="172" fontId="36" fillId="0" borderId="4" applyAlignment="1" pivotButton="0" quotePrefix="0" xfId="0">
      <alignment horizontal="center" vertical="center"/>
    </xf>
    <xf numFmtId="172" fontId="53" fillId="21" borderId="4" applyAlignment="1" pivotButton="0" quotePrefix="0" xfId="0">
      <alignment horizontal="center" vertical="center"/>
    </xf>
    <xf numFmtId="172" fontId="7" fillId="14" borderId="1" applyAlignment="1" pivotButton="0" quotePrefix="0" xfId="0">
      <alignment horizontal="center" vertical="center"/>
    </xf>
    <xf numFmtId="172" fontId="7" fillId="0" borderId="1" applyAlignment="1" pivotButton="0" quotePrefix="0" xfId="0">
      <alignment horizontal="center" vertical="center"/>
    </xf>
    <xf numFmtId="0" fontId="32" fillId="0" borderId="10" applyAlignment="1" pivotButton="0" quotePrefix="0" xfId="0">
      <alignment horizontal="left" vertical="center"/>
    </xf>
    <xf numFmtId="172" fontId="0" fillId="0" borderId="17" applyAlignment="1" pivotButton="0" quotePrefix="0" xfId="0">
      <alignment horizontal="center" vertical="center"/>
    </xf>
    <xf numFmtId="0" fontId="13" fillId="0" borderId="1" applyAlignment="1" pivotButton="0" quotePrefix="0" xfId="0">
      <alignment horizontal="left" vertical="center"/>
    </xf>
    <xf numFmtId="4" fontId="24" fillId="0" borderId="1" applyAlignment="1" pivotButton="0" quotePrefix="0" xfId="0">
      <alignment horizontal="center" vertical="center"/>
    </xf>
    <xf numFmtId="0" fontId="8" fillId="0" borderId="1" applyAlignment="1" pivotButton="0" quotePrefix="0" xfId="0">
      <alignment horizontal="center" vertical="center"/>
    </xf>
    <xf numFmtId="0" fontId="58" fillId="27" borderId="0" applyAlignment="1" pivotButton="0" quotePrefix="0" xfId="0">
      <alignment horizontal="left" vertical="center"/>
    </xf>
    <xf numFmtId="0" fontId="59" fillId="0" borderId="0" applyAlignment="1" pivotButton="0" quotePrefix="0" xfId="0">
      <alignment horizontal="left" vertical="center"/>
    </xf>
    <xf numFmtId="0" fontId="60" fillId="30" borderId="0" applyAlignment="1" pivotButton="0" quotePrefix="0" xfId="0">
      <alignment horizontal="left" vertical="center"/>
    </xf>
    <xf numFmtId="0" fontId="61" fillId="0" borderId="19" applyAlignment="1" pivotButton="0" quotePrefix="0" xfId="0">
      <alignment horizontal="left" vertical="center"/>
    </xf>
    <xf numFmtId="172" fontId="61" fillId="31" borderId="19" applyAlignment="1" pivotButton="0" quotePrefix="0" xfId="0">
      <alignment horizontal="center" vertical="center"/>
    </xf>
    <xf numFmtId="0" fontId="0" fillId="0" borderId="22" pivotButton="0" quotePrefix="0" xfId="0"/>
    <xf numFmtId="9" fontId="61" fillId="31" borderId="19" applyAlignment="1" pivotButton="0" quotePrefix="0" xfId="0">
      <alignment horizontal="center" vertical="center"/>
    </xf>
    <xf numFmtId="0" fontId="62" fillId="0" borderId="19" applyAlignment="1" pivotButton="0" quotePrefix="0" xfId="0">
      <alignment horizontal="left" vertical="center"/>
    </xf>
    <xf numFmtId="172" fontId="62" fillId="32" borderId="19" applyAlignment="1" pivotButton="0" quotePrefix="0" xfId="0">
      <alignment horizontal="center" vertical="center"/>
    </xf>
    <xf numFmtId="0" fontId="61" fillId="0" borderId="19" applyAlignment="1" pivotButton="0" quotePrefix="0" xfId="0">
      <alignment horizontal="center" vertical="center"/>
    </xf>
    <xf numFmtId="0" fontId="63" fillId="27" borderId="19" applyAlignment="1" pivotButton="0" quotePrefix="0" xfId="0">
      <alignment horizontal="left" vertical="center" wrapText="1"/>
    </xf>
    <xf numFmtId="0" fontId="63" fillId="27" borderId="19" applyAlignment="1" pivotButton="0" quotePrefix="0" xfId="0">
      <alignment horizontal="center" vertical="center" wrapText="1"/>
    </xf>
    <xf numFmtId="1" fontId="61" fillId="31" borderId="19" applyAlignment="1" pivotButton="0" quotePrefix="0" xfId="0">
      <alignment horizontal="center" vertical="center"/>
    </xf>
    <xf numFmtId="172" fontId="61" fillId="0" borderId="19" applyAlignment="1" pivotButton="0" quotePrefix="0" xfId="0">
      <alignment horizontal="center" vertical="center"/>
    </xf>
    <xf numFmtId="3" fontId="61" fillId="0" borderId="19" applyAlignment="1" pivotButton="0" quotePrefix="0" xfId="0">
      <alignment horizontal="center" vertical="center"/>
    </xf>
    <xf numFmtId="3" fontId="61" fillId="31" borderId="19" applyAlignment="1" pivotButton="0" quotePrefix="0" xfId="0">
      <alignment horizontal="center" vertical="center"/>
    </xf>
    <xf numFmtId="2" fontId="61" fillId="0" borderId="19" applyAlignment="1" pivotButton="0" quotePrefix="0" xfId="0">
      <alignment horizontal="center" vertical="center"/>
    </xf>
    <xf numFmtId="172" fontId="61" fillId="33" borderId="19" applyAlignment="1" pivotButton="0" quotePrefix="0" xfId="0">
      <alignment horizontal="center" vertical="center"/>
    </xf>
    <xf numFmtId="172" fontId="61" fillId="34" borderId="19" applyAlignment="1" pivotButton="0" quotePrefix="0" xfId="0">
      <alignment horizontal="center" vertical="center"/>
    </xf>
    <xf numFmtId="172" fontId="61" fillId="30" borderId="19" applyAlignment="1" pivotButton="0" quotePrefix="0" xfId="0">
      <alignment horizontal="center" vertical="center"/>
    </xf>
    <xf numFmtId="172" fontId="61" fillId="35" borderId="19" applyAlignment="1" pivotButton="0" quotePrefix="0" xfId="0">
      <alignment horizontal="center" vertical="center"/>
    </xf>
    <xf numFmtId="172" fontId="62" fillId="36" borderId="19" applyAlignment="1" pivotButton="0" quotePrefix="0" xfId="0">
      <alignment horizontal="center" vertical="center"/>
    </xf>
    <xf numFmtId="0" fontId="60" fillId="28" borderId="18" applyAlignment="1" pivotButton="0" quotePrefix="0" xfId="0">
      <alignment horizontal="left" vertical="center"/>
    </xf>
    <xf numFmtId="0" fontId="0" fillId="0" borderId="18" pivotButton="0" quotePrefix="0" xfId="0"/>
    <xf numFmtId="172" fontId="62" fillId="32" borderId="18" applyAlignment="1" pivotButton="0" quotePrefix="0" xfId="0">
      <alignment horizontal="center" vertical="center"/>
    </xf>
    <xf numFmtId="0" fontId="61" fillId="28" borderId="18" applyAlignment="1" pivotButton="0" quotePrefix="0" xfId="0">
      <alignment horizontal="center" vertical="center"/>
    </xf>
    <xf numFmtId="172" fontId="62" fillId="34" borderId="18" applyAlignment="1" pivotButton="0" quotePrefix="0" xfId="0">
      <alignment horizontal="center" vertical="center"/>
    </xf>
    <xf numFmtId="172" fontId="62" fillId="30" borderId="18" applyAlignment="1" pivotButton="0" quotePrefix="0" xfId="0">
      <alignment horizontal="center" vertical="center"/>
    </xf>
    <xf numFmtId="172" fontId="62" fillId="35" borderId="18" applyAlignment="1" pivotButton="0" quotePrefix="0" xfId="0">
      <alignment horizontal="center" vertical="center"/>
    </xf>
    <xf numFmtId="172" fontId="62" fillId="36" borderId="18" applyAlignment="1" pivotButton="0" quotePrefix="0" xfId="0">
      <alignment horizontal="center" vertical="center"/>
    </xf>
    <xf numFmtId="0" fontId="0" fillId="0" borderId="25" pivotButton="0" quotePrefix="0" xfId="0"/>
    <xf numFmtId="0" fontId="0" fillId="0" borderId="26" pivotButton="0" quotePrefix="0" xfId="0"/>
    <xf numFmtId="0" fontId="64" fillId="29" borderId="0" applyAlignment="1" pivotButton="0" quotePrefix="0" xfId="0">
      <alignment horizontal="left" vertical="center"/>
    </xf>
    <xf numFmtId="172" fontId="39" fillId="28" borderId="19" applyAlignment="1" pivotButton="0" quotePrefix="0" xfId="0">
      <alignment horizontal="center" vertical="center"/>
    </xf>
    <xf numFmtId="0" fontId="59" fillId="0" borderId="0" applyAlignment="1" pivotButton="0" quotePrefix="0" xfId="0">
      <alignment horizontal="left" vertical="center"/>
    </xf>
    <xf numFmtId="9" fontId="39" fillId="31" borderId="19" applyAlignment="1" pivotButton="0" quotePrefix="0" xfId="0">
      <alignment horizontal="center" vertical="center"/>
    </xf>
    <xf numFmtId="172" fontId="39" fillId="32" borderId="19" applyAlignment="1" pivotButton="0" quotePrefix="0" xfId="0">
      <alignment horizontal="center" vertical="center"/>
    </xf>
    <xf numFmtId="172" fontId="39" fillId="34" borderId="19" applyAlignment="1" pivotButton="0" quotePrefix="0" xfId="0">
      <alignment horizontal="center" vertical="center"/>
    </xf>
    <xf numFmtId="172" fontId="39" fillId="30" borderId="19" applyAlignment="1" pivotButton="0" quotePrefix="0" xfId="0">
      <alignment horizontal="center" vertical="center"/>
    </xf>
    <xf numFmtId="172" fontId="39" fillId="35" borderId="19" applyAlignment="1" pivotButton="0" quotePrefix="0" xfId="0">
      <alignment horizontal="center" vertical="center"/>
    </xf>
    <xf numFmtId="172" fontId="39" fillId="0" borderId="19" applyAlignment="1" pivotButton="0" quotePrefix="0" xfId="0">
      <alignment horizontal="center" vertical="center"/>
    </xf>
    <xf numFmtId="0" fontId="65" fillId="0" borderId="18" applyAlignment="1" pivotButton="0" quotePrefix="0" xfId="0">
      <alignment horizontal="left" vertical="center"/>
    </xf>
    <xf numFmtId="172" fontId="66" fillId="37" borderId="18" applyAlignment="1" pivotButton="0" quotePrefix="0" xfId="0">
      <alignment horizontal="center" vertical="center"/>
    </xf>
    <xf numFmtId="0" fontId="67" fillId="0" borderId="19" applyAlignment="1" pivotButton="0" quotePrefix="0" xfId="0">
      <alignment horizontal="left" vertical="center"/>
    </xf>
    <xf numFmtId="3" fontId="39" fillId="0" borderId="19" applyAlignment="1" pivotButton="0" quotePrefix="0" xfId="0">
      <alignment horizontal="center" vertical="center"/>
    </xf>
    <xf numFmtId="172" fontId="46" fillId="33" borderId="18" applyAlignment="1" pivotButton="0" quotePrefix="0" xfId="0">
      <alignment horizontal="center" vertical="center"/>
    </xf>
    <xf numFmtId="0" fontId="32" fillId="0" borderId="0" applyAlignment="1" pivotButton="0" quotePrefix="0" xfId="0">
      <alignment horizontal="left" vertical="center"/>
    </xf>
    <xf numFmtId="0" fontId="17" fillId="31" borderId="19" applyAlignment="1" pivotButton="0" quotePrefix="0" xfId="0">
      <alignment horizontal="center" vertical="center"/>
    </xf>
    <xf numFmtId="165" fontId="22" fillId="31" borderId="19" applyAlignment="1" pivotButton="0" quotePrefix="0" xfId="0">
      <alignment horizontal="center" vertical="center"/>
    </xf>
    <xf numFmtId="3" fontId="17" fillId="31" borderId="19" applyAlignment="1" pivotButton="0" quotePrefix="0" xfId="0">
      <alignment horizontal="center" vertical="center"/>
    </xf>
    <xf numFmtId="172" fontId="39" fillId="31" borderId="19" applyAlignment="1" pivotButton="0" quotePrefix="0" xfId="0">
      <alignment horizontal="center" vertical="center"/>
    </xf>
    <xf numFmtId="0" fontId="59" fillId="0" borderId="0" applyAlignment="1" pivotButton="0" quotePrefix="0" xfId="0">
      <alignment horizontal="left" vertical="center"/>
    </xf>
    <xf numFmtId="0" fontId="32" fillId="0" borderId="19" applyAlignment="1" pivotButton="0" quotePrefix="0" xfId="0">
      <alignment horizontal="left" vertical="center"/>
    </xf>
    <xf numFmtId="0" fontId="39" fillId="31" borderId="19" applyAlignment="1" pivotButton="0" quotePrefix="0" xfId="0">
      <alignment horizontal="center" vertical="center"/>
    </xf>
    <xf numFmtId="172" fontId="39" fillId="0" borderId="10" applyAlignment="1" pivotButton="0" quotePrefix="0" xfId="0">
      <alignment horizontal="center" vertical="center"/>
    </xf>
    <xf numFmtId="0" fontId="68" fillId="0" borderId="0"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EDEDED"/>
        </patternFill>
      </fill>
    </dxf>
    <dxf>
      <fill>
        <patternFill>
          <bgColor rgb="FFEDEDED"/>
        </patternFill>
      </fill>
    </dxf>
  </dxfs>
  <colors>
    <indexedColors>
      <rgbColor rgb="FF000000"/>
      <rgbColor rgb="FFFFFFFF"/>
      <rgbColor rgb="FFCC0000"/>
      <rgbColor rgb="FF00FF00"/>
      <rgbColor rgb="FF0000FF"/>
      <rgbColor rgb="FFF2F2F2"/>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FEA"/>
      <rgbColor rgb="FF660066"/>
      <rgbColor rgb="FFFF8080"/>
      <rgbColor rgb="FF2E5496"/>
      <rgbColor rgb="FFBDD7EE"/>
      <rgbColor rgb="FF000080"/>
      <rgbColor rgb="FFFF00FF"/>
      <rgbColor rgb="FFFFFF00"/>
      <rgbColor rgb="FF00FFFF"/>
      <rgbColor rgb="FF800080"/>
      <rgbColor rgb="FF800000"/>
      <rgbColor rgb="FF008080"/>
      <rgbColor rgb="FF0000CC"/>
      <rgbColor rgb="FF00CCFF"/>
      <rgbColor rgb="FFDEEBF7"/>
      <rgbColor rgb="FFE2EFDA"/>
      <rgbColor rgb="FFFDF3D8"/>
      <rgbColor rgb="FFDCE6F1"/>
      <rgbColor rgb="FFEDEDED"/>
      <rgbColor rgb="FFEAF0FB"/>
      <rgbColor rgb="FFFCE4D6"/>
      <rgbColor rgb="FF3366FF"/>
      <rgbColor rgb="FF33CCCC"/>
      <rgbColor rgb="FF99CC00"/>
      <rgbColor rgb="FFFFCC00"/>
      <rgbColor rgb="FFFF9900"/>
      <rgbColor rgb="FFFF6600"/>
      <rgbColor rgb="FF595959"/>
      <rgbColor rgb="FF969696"/>
      <rgbColor rgb="FF12314F"/>
      <rgbColor rgb="FF339966"/>
      <rgbColor rgb="FF003300"/>
      <rgbColor rgb="FF375623"/>
      <rgbColor rgb="FF993300"/>
      <rgbColor rgb="FF993366"/>
      <rgbColor rgb="FF1F3864"/>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39" min="1" max="1"/>
    <col width="86" customWidth="1" style="139" min="2" max="2"/>
    <col width="10" customWidth="1" style="139" min="3" max="8"/>
  </cols>
  <sheetData>
    <row r="1" ht="32" customHeight="1" s="140">
      <c r="A1" s="432" t="inlineStr">
        <is>
          <t>SMS ROOFING  —  MECHANICALLY ATTACHED TPO  •  LOCKED ESTIMATING TEMPLATE</t>
        </is>
      </c>
    </row>
    <row r="2" ht="32" customHeight="1" s="140">
      <c r="A2" s="433" t="inlineStr">
        <is>
          <t>Scope: mech-attached polyiso · mech-attached 60-mil TPO field · fully adhered TPO walls up-and-over · perimeter flat metal · penetrations and accessories.  TEAR-OFF.</t>
        </is>
      </c>
    </row>
    <row r="3" ht="8" customHeight="1" s="140">
      <c r="A3" s="348" t="n"/>
      <c r="B3" s="348" t="n"/>
      <c r="C3" s="348" t="n"/>
      <c r="D3" s="348" t="n"/>
      <c r="E3" s="348" t="n"/>
      <c r="F3" s="348" t="n"/>
      <c r="G3" s="348" t="n"/>
      <c r="H3" s="348" t="n"/>
      <c r="I3" s="348" t="n"/>
      <c r="J3" s="348" t="n"/>
      <c r="K3" s="348" t="n"/>
      <c r="L3" s="348" t="n"/>
      <c r="M3" s="348" t="n"/>
    </row>
    <row r="4" ht="22" customHeight="1" s="140">
      <c r="A4" s="143" t="inlineStr">
        <is>
          <t>THE PAGES  —  in the order you work them</t>
        </is>
      </c>
    </row>
    <row r="5" ht="20" customHeight="1" s="140">
      <c r="A5" s="144" t="inlineStr">
        <is>
          <t>1 · Takeoff</t>
        </is>
      </c>
      <c r="B5" s="444" t="inlineStr">
        <is>
          <t>THE DUMP. Only what you measure or count off the plans. Roof areas, counts, wall facets, coping / gravel stop / counter flashing / downspout runs, curbs. No materials. No pricing. Nothing derived.</t>
        </is>
      </c>
    </row>
    <row r="6" ht="20" customHeight="1" s="140">
      <c r="A6" s="144" t="inlineStr">
        <is>
          <t>2 · Material Order</t>
        </is>
      </c>
      <c r="B6" s="444" t="inlineStr">
        <is>
          <t>The order list. Every quantity reads live off the Material Takeoff page. Under each line, in plain words, is why that number is what it is — so somebody who has never been on a roof can read it and know what to change.</t>
        </is>
      </c>
    </row>
    <row r="7" ht="20" customHeight="1" s="140">
      <c r="A7" s="144" t="inlineStr">
        <is>
          <t>3 · Labor</t>
        </is>
      </c>
      <c r="B7" s="444" t="inlineStr">
        <is>
          <t>Crew cost per day ÷ squares per day = $ per square. Plus the unit-priced lines.</t>
        </is>
      </c>
    </row>
    <row r="8" ht="20" customHeight="1" s="140">
      <c r="A8" s="144" t="inlineStr">
        <is>
          <t>4 · Totals</t>
        </is>
      </c>
      <c r="B8" s="444" t="inlineStr">
        <is>
          <t>Material markup applied to material only. TOTAL BID and price per square.</t>
        </is>
      </c>
    </row>
    <row r="9" ht="20" customHeight="1" s="140">
      <c r="A9" s="144" t="inlineStr">
        <is>
          <t>At the far right</t>
        </is>
      </c>
      <c r="B9" s="444" t="inlineStr">
        <is>
          <t>Plan Reference — the wall sections and kicker widths this job was read off.   Material Takeoff — the working math behind every quantity on the order.</t>
        </is>
      </c>
    </row>
    <row r="10" ht="8" customHeight="1" s="140">
      <c r="A10" s="348" t="n"/>
      <c r="B10" s="348" t="n"/>
      <c r="C10" s="348" t="n"/>
      <c r="D10" s="348" t="n"/>
      <c r="E10" s="348" t="n"/>
      <c r="F10" s="348" t="n"/>
      <c r="G10" s="348" t="n"/>
      <c r="H10" s="348" t="n"/>
      <c r="I10" s="348" t="n"/>
      <c r="J10" s="348" t="n"/>
      <c r="K10" s="348" t="n"/>
      <c r="L10" s="348" t="n"/>
      <c r="M10" s="348" t="n"/>
    </row>
    <row r="11" ht="22" customHeight="1" s="140">
      <c r="A11" s="143" t="inlineStr">
        <is>
          <t>HOW A LINE WORKS ON PAGE 2</t>
        </is>
      </c>
    </row>
    <row r="12" ht="20" customHeight="1" s="140">
      <c r="A12" s="144" t="inlineStr">
        <is>
          <t>The pattern</t>
        </is>
      </c>
      <c r="B12" s="444" t="inlineStr">
        <is>
          <t>DRIVER   x / ÷   FACTOR   =   RAW   →   QTY.   The driver reads live off the Takeoff page. The FACTOR is the only cell you touch.</t>
        </is>
      </c>
    </row>
    <row r="13" ht="20" customHeight="1" s="140">
      <c r="A13" s="144" t="inlineStr">
        <is>
          <t>Why</t>
        </is>
      </c>
      <c r="B13" s="444" t="inlineStr">
        <is>
          <t>Change one factor and every number downstream moves. Nothing is ever typed twice, and nothing is typed that could be calculated.</t>
        </is>
      </c>
    </row>
    <row r="14" ht="20" customHeight="1" s="140">
      <c r="A14" s="144" t="inlineStr">
        <is>
          <t>The test</t>
        </is>
      </c>
      <c r="B14" s="444" t="inlineStr">
        <is>
          <t>Somebody who has never been on that roof fills in page 1 and the whole bid falls out.</t>
        </is>
      </c>
    </row>
    <row r="15" ht="8" customHeight="1" s="140">
      <c r="A15" s="348" t="n"/>
      <c r="B15" s="348" t="n"/>
      <c r="C15" s="348" t="n"/>
      <c r="D15" s="348" t="n"/>
      <c r="E15" s="348" t="n"/>
      <c r="F15" s="348" t="n"/>
      <c r="G15" s="348" t="n"/>
      <c r="H15" s="348" t="n"/>
      <c r="I15" s="348" t="n"/>
      <c r="J15" s="348" t="n"/>
      <c r="K15" s="348" t="n"/>
      <c r="L15" s="348" t="n"/>
      <c r="M15" s="348" t="n"/>
    </row>
    <row r="16" ht="22" customHeight="1" s="140">
      <c r="A16" s="143" t="inlineStr">
        <is>
          <t>LEGEND</t>
        </is>
      </c>
    </row>
    <row r="17" ht="20" customHeight="1" s="140">
      <c r="A17" s="146" t="inlineStr">
        <is>
          <t>Blue text</t>
        </is>
      </c>
      <c r="B17" s="145" t="inlineStr">
        <is>
          <t>Editable input — type here</t>
        </is>
      </c>
    </row>
    <row r="18" ht="20" customHeight="1" s="140">
      <c r="A18" s="147" t="inlineStr">
        <is>
          <t>Green text</t>
        </is>
      </c>
      <c r="B18" s="444" t="inlineStr">
        <is>
          <t>Live link — pulls from another page. Never edit.</t>
        </is>
      </c>
    </row>
    <row r="19" ht="20" customHeight="1" s="140">
      <c r="A19" s="144" t="inlineStr">
        <is>
          <t>Black text</t>
        </is>
      </c>
      <c r="B19" s="145" t="inlineStr">
        <is>
          <t>Locked formula</t>
        </is>
      </c>
    </row>
    <row r="20" ht="20" customHeight="1" s="140">
      <c r="A20" s="148" t="inlineStr">
        <is>
          <t>Red text</t>
        </is>
      </c>
      <c r="B20" s="444" t="inlineStr">
        <is>
          <t>RAW / unrounded — what the math produced before rounding up to a whole package</t>
        </is>
      </c>
    </row>
    <row r="21" ht="22" customHeight="1" s="140">
      <c r="A21" s="149" t="inlineStr">
        <is>
          <t>Yellow fill</t>
        </is>
      </c>
      <c r="B21" s="444" t="inlineStr">
        <is>
          <t>THE EQUATION GOES HERE — factor, divisor or rate, still to be set</t>
        </is>
      </c>
    </row>
    <row r="22" ht="20" customHeight="1" s="140">
      <c r="A22" s="144" t="inlineStr">
        <is>
          <t>Blue narrow band</t>
        </is>
      </c>
      <c r="B22" s="444" t="inlineStr">
        <is>
          <t>Explains the section above in live numbers</t>
        </is>
      </c>
    </row>
    <row r="23" ht="8" customHeight="1" s="140">
      <c r="A23" s="348" t="n"/>
      <c r="B23" s="348" t="n"/>
      <c r="C23" s="348" t="n"/>
      <c r="D23" s="348" t="n"/>
      <c r="E23" s="348" t="n"/>
      <c r="F23" s="348" t="n"/>
      <c r="G23" s="348" t="n"/>
      <c r="H23" s="348" t="n"/>
      <c r="I23" s="348" t="n"/>
      <c r="J23" s="348" t="n"/>
      <c r="K23" s="348" t="n"/>
      <c r="L23" s="348" t="n"/>
      <c r="M23" s="348" t="n"/>
    </row>
    <row r="24" ht="22" customHeight="1" s="140">
      <c r="A24" s="143" t="inlineStr">
        <is>
          <t>STATUS</t>
        </is>
      </c>
    </row>
    <row r="25" ht="20" customHeight="1" s="140">
      <c r="A25" s="144" t="inlineStr">
        <is>
          <t>Where this stands</t>
        </is>
      </c>
      <c r="B25" s="444" t="inlineStr">
        <is>
          <t>Every product line is in place and every page is wired to the one before it. Nothing is priced and nothing is assumed.</t>
        </is>
      </c>
    </row>
    <row r="26" ht="20" customHeight="1" s="140">
      <c r="A26" s="144" t="inlineStr">
        <is>
          <t>What is left</t>
        </is>
      </c>
      <c r="B26" s="444" t="inlineStr">
        <is>
          <t>Fill the yellow cells line by line. Each one is a rule stated once, then locked.</t>
        </is>
      </c>
    </row>
    <row r="27" ht="20" customHeight="1" s="140">
      <c r="A27" s="144" t="inlineStr">
        <is>
          <t>If something is wrong</t>
        </is>
      </c>
      <c r="B27" s="444" t="inlineStr">
        <is>
          <t>If a product is missing, sits on the wrong page, or should not be on a mech-attached TPO job — say so and it moves or comes out.</t>
        </is>
      </c>
    </row>
    <row r="28" ht="8" customHeight="1" s="140">
      <c r="A28" s="348" t="n"/>
      <c r="B28" s="348" t="n"/>
      <c r="C28" s="348" t="n"/>
      <c r="D28" s="348" t="n"/>
      <c r="E28" s="348" t="n"/>
      <c r="F28" s="348" t="n"/>
      <c r="G28" s="348" t="n"/>
      <c r="H28" s="348" t="n"/>
      <c r="I28" s="348" t="n"/>
      <c r="J28" s="348" t="n"/>
      <c r="K28" s="348" t="n"/>
      <c r="L28" s="348" t="n"/>
      <c r="M28" s="348" t="n"/>
    </row>
    <row r="29" ht="22" customHeight="1" s="140">
      <c r="A29" s="143" t="inlineStr">
        <is>
          <t>THE RULE ABOUT RULES</t>
        </is>
      </c>
    </row>
    <row r="30" ht="20" customHeight="1" s="140">
      <c r="A30" s="144" t="inlineStr">
        <is>
          <t>Where equations come from</t>
        </is>
      </c>
      <c r="B30" s="444" t="inlineStr">
        <is>
          <t>Adam states them. They get built. Nothing is derived, assumed or back-filled from a number that looks close.</t>
        </is>
      </c>
    </row>
    <row r="31" ht="20" customHeight="1" s="140">
      <c r="A31" s="144" t="inlineStr">
        <is>
          <t>Checks &amp; balances</t>
        </is>
      </c>
      <c r="B31" s="444" t="inlineStr">
        <is>
          <t>Section K on the Takeoff page. Only checks Adam has stated go there — an invented check costs more to undo than it ever saved.</t>
        </is>
      </c>
    </row>
    <row r="32" ht="20" customHeight="1" s="140">
      <c r="A32" s="144" t="inlineStr">
        <is>
          <t>Who this is for</t>
        </is>
      </c>
      <c r="B32" s="444" t="inlineStr">
        <is>
          <t>Adam, but also whoever runs it after him. It has to work for someone who does not know roofing.</t>
        </is>
      </c>
    </row>
  </sheetData>
  <mergeCells count="7">
    <mergeCell ref="A4:B4"/>
    <mergeCell ref="A24:B24"/>
    <mergeCell ref="A16:B16"/>
    <mergeCell ref="A2:B2"/>
    <mergeCell ref="A29:B29"/>
    <mergeCell ref="A11:B1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9" min="1" max="1"/>
    <col width="24" customWidth="1" style="139" min="2" max="2"/>
    <col width="23" customWidth="1" style="139" min="3" max="3"/>
    <col width="10" customWidth="1" style="139" min="4" max="4"/>
    <col width="13" customWidth="1" style="139" min="5" max="5"/>
    <col width="23" customWidth="1" style="139" min="6" max="6"/>
    <col width="15" customWidth="1" style="139" min="7" max="7"/>
    <col width="70" customWidth="1" style="139" min="8" max="8"/>
  </cols>
  <sheetData>
    <row r="1" ht="32" customHeight="1" s="140">
      <c r="A1" s="434" t="inlineStr">
        <is>
          <t>EXISTING CONDITIONS  —  9506 BAMBOO, HOUSTON  ·  WORTHAM BROTHERS</t>
        </is>
      </c>
    </row>
    <row r="2" ht="32" customHeight="1" s="140">
      <c r="A2" s="435" t="inlineStr">
        <is>
          <t>Answer this page first. A question only shows up when it applies — a greyed cell is not being asked, leave it alone. How each layer is stuck down is what drives the TEAR-OFF LABOR and what shape the deck is in when it is exposed.</t>
        </is>
      </c>
    </row>
    <row r="3" ht="8" customHeight="1" s="140">
      <c r="A3" s="348" t="n"/>
      <c r="B3" s="348" t="n"/>
      <c r="C3" s="348" t="n"/>
      <c r="D3" s="348" t="n"/>
      <c r="E3" s="348" t="n"/>
      <c r="F3" s="348" t="n"/>
      <c r="G3" s="348" t="n"/>
      <c r="H3" s="348" t="n"/>
      <c r="I3" s="348" t="n"/>
      <c r="J3" s="348" t="n"/>
      <c r="K3" s="348" t="n"/>
      <c r="L3" s="348" t="n"/>
      <c r="M3" s="348" t="n"/>
    </row>
    <row r="4" ht="22" customHeight="1" s="140">
      <c r="A4" s="152" t="inlineStr">
        <is>
          <t>A · WHAT KIND OF JOB IS THIS</t>
        </is>
      </c>
    </row>
    <row r="5" ht="22" customHeight="1" s="140">
      <c r="A5" s="153" t="inlineStr">
        <is>
          <t>Item</t>
        </is>
      </c>
      <c r="B5" s="153" t="inlineStr">
        <is>
          <t>Answer</t>
        </is>
      </c>
      <c r="C5" s="153" t="n"/>
      <c r="D5" s="153" t="n"/>
      <c r="E5" s="153" t="n"/>
      <c r="F5" s="153" t="n"/>
      <c r="G5" s="153" t="n"/>
      <c r="H5" s="153" t="inlineStr">
        <is>
          <t>What it turns on</t>
        </is>
      </c>
    </row>
    <row r="6" ht="20" customHeight="1" s="140">
      <c r="A6" s="154" t="inlineStr">
        <is>
          <t>Construction type</t>
        </is>
      </c>
      <c r="B6" s="155" t="n"/>
      <c r="H6" s="445">
        <f>IF($B$6="","pick one — nothing below this matters until you do",IF($B$6="New construction","NEW CONSTRUCTION — no existing roof. Everything below switches off.",IF($B$6="Recover","RECOVER — the existing roof stays. Still answer the layers: what stays under the new roof drives the fastener length.","TEAR OFF — every layer below is a layer that has to come off.")))</f>
        <v/>
      </c>
    </row>
    <row r="7" ht="8" customHeight="1" s="140">
      <c r="A7" s="348" t="n"/>
      <c r="B7" s="348" t="n"/>
      <c r="C7" s="348" t="n"/>
      <c r="D7" s="348" t="n"/>
      <c r="E7" s="348" t="n"/>
      <c r="F7" s="348" t="n"/>
      <c r="G7" s="348" t="n"/>
      <c r="H7" s="348" t="n"/>
      <c r="I7" s="348" t="n"/>
      <c r="J7" s="348" t="n"/>
      <c r="K7" s="348" t="n"/>
      <c r="L7" s="348" t="n"/>
      <c r="M7" s="348" t="n"/>
    </row>
    <row r="8" ht="22" customHeight="1" s="140">
      <c r="A8" s="152" t="inlineStr">
        <is>
          <t>B · THE DECK</t>
        </is>
      </c>
    </row>
    <row r="9" ht="22" customHeight="1" s="140">
      <c r="A9" s="153" t="inlineStr">
        <is>
          <t>Item</t>
        </is>
      </c>
      <c r="B9" s="153" t="inlineStr">
        <is>
          <t>Answer</t>
        </is>
      </c>
      <c r="C9" s="153" t="inlineStr">
        <is>
          <t>Unit</t>
        </is>
      </c>
      <c r="D9" s="153" t="n"/>
      <c r="E9" s="153" t="n"/>
      <c r="F9" s="153" t="n"/>
      <c r="G9" s="153" t="n"/>
      <c r="H9" s="153" t="inlineStr">
        <is>
          <t>Note</t>
        </is>
      </c>
    </row>
    <row r="10" ht="20" customHeight="1" s="140">
      <c r="A10" s="154" t="inlineStr">
        <is>
          <t>Decking</t>
        </is>
      </c>
      <c r="B10" s="155" t="n"/>
      <c r="H10" s="445" t="inlineStr">
        <is>
          <t>the bottom of the stack. Everything above is measured from here up.</t>
        </is>
      </c>
    </row>
    <row r="11" ht="20" customHeight="1" s="140">
      <c r="A11" s="154">
        <f>IF(OR(ISNUMBER(SEARCH("lightweight",$B$10)),ISNUMBER(SEARCH("lwic",$B$10))),"Lightweight concrete thickness","")</f>
        <v/>
      </c>
      <c r="B11" s="515" t="n"/>
      <c r="C11" s="157">
        <f>IF(OR(ISNUMBER(SEARCH("lightweight",$B$10)),ISNUMBER(SEARCH("lwic",$B$10))),"in","")</f>
        <v/>
      </c>
      <c r="H11" s="445">
        <f>IF(OR(ISNUMBER(SEARCH("lightweight",$B$10)),ISNUMBER(SEARCH("lwic",$B$10))),"how thick the lightweight is. A screw has to pass through all of it to reach the steel.","not asked — the deck is not lightweight concrete")</f>
        <v/>
      </c>
    </row>
    <row r="12" ht="20" customHeight="1" s="140">
      <c r="A12" s="154">
        <f>IF(ISNUMBER(SEARCH("wood",$B$10)),"Wood deck material","")</f>
        <v/>
      </c>
      <c r="B12" s="515" t="n"/>
      <c r="C12" s="157">
        <f>IF(ISNUMBER(SEARCH("wood",$B$10)),"","")</f>
        <v/>
      </c>
      <c r="H12" s="445">
        <f>IF(ISNUMBER(SEARCH("wood",$B$10)),"OSB, planks or plywood — it changes the fastener.","not asked — the deck is not wood")</f>
        <v/>
      </c>
    </row>
    <row r="13" ht="20" customHeight="1" s="140">
      <c r="A13" s="154">
        <f>IF(AND(ISNUMBER(SEARCH("steel",$B$10)),NOT(OR(ISNUMBER(SEARCH("lightweight",$B$10)),ISNUMBER(SEARCH("lwic",$B$10))))),"Steel deck profile","")</f>
        <v/>
      </c>
      <c r="B13" s="515" t="n"/>
      <c r="C13" s="157" t="n"/>
      <c r="H13" s="445">
        <f>IF(AND(ISNUMBER(SEARCH("steel",$B$10)),NOT(OR(ISNUMBER(SEARCH("lightweight",$B$10)),ISNUMBER(SEARCH("lwic",$B$10))))),"R panel or B deck — the flute is what the screw lands in.","not asked — the deck is not steel")</f>
        <v/>
      </c>
    </row>
    <row r="14" ht="8" customHeight="1" s="140">
      <c r="A14" s="348" t="n"/>
      <c r="I14" s="348" t="n"/>
      <c r="J14" s="348" t="n"/>
      <c r="K14" s="348" t="n"/>
      <c r="L14" s="348" t="n"/>
      <c r="M14" s="348" t="n"/>
    </row>
    <row r="15" ht="22" customHeight="1" s="140">
      <c r="A15" s="152" t="inlineStr">
        <is>
          <t>C · EXISTING ROOF LAYERS  —  from the deck up</t>
        </is>
      </c>
    </row>
    <row r="16" ht="20" customHeight="1" s="140">
      <c r="A16" s="435" t="inlineStr">
        <is>
          <t>One question at a time, left to right. Roof type → how it is attached → gravel if it is a built-up → is there insulation under it → if yes, how the board is attached and how thick it is. Greyed = not asked. THREE LAYERS IS NOT CODE — three means tearing off is the only option.</t>
        </is>
      </c>
    </row>
    <row r="17" ht="20" customHeight="1" s="140">
      <c r="A17" s="153" t="inlineStr">
        <is>
          <t>Layer</t>
        </is>
      </c>
      <c r="B17" s="153" t="inlineStr">
        <is>
          <t>Roof type</t>
        </is>
      </c>
      <c r="C17" s="153" t="inlineStr">
        <is>
          <t>Attachment</t>
        </is>
      </c>
      <c r="D17" s="153" t="inlineStr">
        <is>
          <t>Gravel?</t>
        </is>
      </c>
      <c r="E17" s="153" t="inlineStr">
        <is>
          <t>Insulation? (what board)</t>
        </is>
      </c>
      <c r="F17" s="153" t="inlineStr">
        <is>
          <t>Board attachment</t>
        </is>
      </c>
      <c r="G17" s="153" t="inlineStr">
        <is>
          <t>Board thickness (in)</t>
        </is>
      </c>
      <c r="H17" s="153" t="inlineStr">
        <is>
          <t>Note</t>
        </is>
      </c>
    </row>
    <row r="18" ht="20" customHeight="1" s="140">
      <c r="A18" s="158" t="inlineStr">
        <is>
          <t>Layer 1   (on the deck)</t>
        </is>
      </c>
      <c r="B18" s="155" t="n"/>
      <c r="C18" s="155" t="n"/>
      <c r="D18" s="155" t="n"/>
      <c r="E18" s="155" t="n"/>
      <c r="F18" s="155" t="n"/>
      <c r="G18" s="159" t="n"/>
      <c r="H18" s="445">
        <f>IF($B$6="New construction","n/a — new construction has no existing layers",IF(B18="","start here — what is sitting on the deck",IF(C18="","→ how is it attached?",IF(AND(UPPER(B18)="BUR",D18=""),"→ gravel on it? Y or N",IF(E18="","→ what board is under it? N/A if none",IF(AND(UPPER(E18)&lt;&gt;"N/A",F18=""),"→ how is that board attached?",IF(AND(UPPER(E18)&lt;&gt;"N/A",G18=""),"→ how thick is that board?","done")))))))</f>
        <v/>
      </c>
    </row>
    <row r="19" ht="22" customHeight="1" s="140">
      <c r="A19" s="158" t="inlineStr">
        <is>
          <t>Layer 2</t>
        </is>
      </c>
      <c r="B19" s="155" t="n"/>
      <c r="C19" s="155" t="n"/>
      <c r="D19" s="155" t="n"/>
      <c r="E19" s="155" t="n"/>
      <c r="F19" s="155" t="n"/>
      <c r="G19" s="159" t="n"/>
      <c r="H19" s="445">
        <f>IF($B$6="New construction","n/a — new construction has no existing layers",IF(B18="","answer Layer 1 first",IF(B19="","open — name it, or mark N/A if there is no Layer 2",IF(UPPER(B19)="N/A","no Layer 2. The stack stops at Layer 1.",IF(C19="","→ how is it attached?",IF(AND(UPPER(B19)="BUR",D19=""),"→ gravel on it? Y or N",IF(E19="","→ what board is under it? N/A if none",IF(AND(UPPER(E19)&lt;&gt;"N/A",F19=""),"→ how is that board attached?",IF(AND(UPPER(E19)&lt;&gt;"N/A",G19=""),"→ how thick is that board?","done")))))))))</f>
        <v/>
      </c>
    </row>
    <row r="20" ht="8" customHeight="1" s="140">
      <c r="A20" s="158" t="inlineStr">
        <is>
          <t>Layer 3</t>
        </is>
      </c>
      <c r="B20" s="155" t="n"/>
      <c r="C20" s="155" t="n"/>
      <c r="D20" s="155" t="n"/>
      <c r="E20" s="155" t="n"/>
      <c r="F20" s="155" t="n"/>
      <c r="G20" s="159" t="n"/>
      <c r="H20" s="445">
        <f>IF($B$6="New construction","n/a — new construction has no existing layers",IF(B19="","answer Layer 2 first",IF(B20="","open — name it, or mark N/A if there is no Layer 3",IF(UPPER(B20)="N/A","no Layer 3. The stack stops at Layer 2.",IF(C20="","→ how is it attached?",IF(AND(UPPER(B20)="BUR",D20=""),"→ gravel on it? Y or N",IF(E20="","→ what board is under it? N/A if none",IF(AND(UPPER(E20)&lt;&gt;"N/A",F20=""),"→ how is that board attached?",IF(AND(UPPER(E20)&lt;&gt;"N/A",G20=""),"→ how thick is that board?","done")))))))))</f>
        <v/>
      </c>
    </row>
    <row r="21" ht="8" customHeight="1" s="140">
      <c r="A21" s="160" t="inlineStr">
        <is>
          <t>Layers counted</t>
        </is>
      </c>
      <c r="B21" s="160">
        <f>IF($B$6="New construction",0,COUNTIFS(B18:B20,"&lt;&gt;")-COUNTIFS(B18:B20,"N/A"))</f>
        <v/>
      </c>
      <c r="C21" s="161" t="n"/>
      <c r="D21" s="161" t="n"/>
      <c r="E21" s="161" t="n"/>
      <c r="F21" s="161" t="n"/>
      <c r="G21" s="161" t="n"/>
      <c r="H21" s="446">
        <f>IF($B$6="New construction","",IF(B21=0,"",IF(B21&gt;=3,"THREE LAYERS. That is not code. Tear-off is the only option — a recover is off the table.",IF($B$6="Recover","recover: these layers stay put and the new roof goes over them","tear off: every layer above has to come off"))))</f>
        <v/>
      </c>
    </row>
    <row r="22" ht="8" customHeight="1" s="140">
      <c r="A22" s="348" t="n"/>
      <c r="B22" s="348" t="n"/>
      <c r="C22" s="348" t="n"/>
      <c r="D22" s="348" t="n"/>
      <c r="E22" s="348" t="n"/>
      <c r="F22" s="348" t="n"/>
      <c r="G22" s="348" t="n"/>
      <c r="H22" s="348" t="n"/>
      <c r="I22" s="348" t="n"/>
      <c r="J22" s="348" t="n"/>
      <c r="K22" s="348" t="n"/>
      <c r="L22" s="348" t="n"/>
      <c r="M22" s="348" t="n"/>
    </row>
    <row r="23" ht="8" customHeight="1" s="140">
      <c r="A23" s="348" t="n"/>
      <c r="B23" s="348" t="n"/>
      <c r="C23" s="348" t="n"/>
      <c r="D23" s="348" t="n"/>
      <c r="E23" s="348" t="n"/>
      <c r="F23" s="348" t="n"/>
      <c r="G23" s="348" t="n"/>
      <c r="H23" s="348" t="n"/>
      <c r="I23" s="348" t="n"/>
      <c r="J23" s="348" t="n"/>
      <c r="K23" s="348" t="n"/>
      <c r="L23" s="348" t="n"/>
      <c r="M23" s="348" t="n"/>
    </row>
    <row r="24" ht="8" customHeight="1" s="140">
      <c r="A24" s="348" t="n"/>
      <c r="B24" s="348" t="n"/>
      <c r="C24" s="348" t="n"/>
      <c r="D24" s="348" t="n"/>
      <c r="E24" s="348" t="n"/>
      <c r="F24" s="348" t="n"/>
      <c r="G24" s="348" t="n"/>
      <c r="H24" s="348" t="n"/>
      <c r="I24" s="348" t="n"/>
      <c r="J24" s="348" t="n"/>
      <c r="K24" s="348" t="n"/>
      <c r="L24" s="348" t="n"/>
      <c r="M24" s="348" t="n"/>
    </row>
    <row r="25" ht="32" customHeight="1" s="140">
      <c r="A25" s="348" t="n"/>
      <c r="I25" s="348" t="n"/>
      <c r="J25" s="348" t="n"/>
      <c r="K25" s="348" t="n"/>
      <c r="L25" s="348" t="n"/>
      <c r="M25" s="348" t="n"/>
    </row>
    <row r="26">
      <c r="A26" s="348" t="n"/>
      <c r="B26" s="348" t="n"/>
      <c r="C26" s="348" t="n"/>
      <c r="D26" s="348" t="n"/>
      <c r="E26" s="348" t="n"/>
      <c r="F26" s="348" t="n"/>
      <c r="G26" s="348" t="n"/>
      <c r="H26" s="348" t="n"/>
      <c r="I26" s="348" t="n"/>
      <c r="J26" s="348" t="n"/>
      <c r="K26" s="348" t="n"/>
      <c r="L26" s="348" t="n"/>
      <c r="M26" s="348" t="n"/>
    </row>
    <row r="27">
      <c r="A27" s="435" t="inlineStr">
        <is>
          <t>What the new roof is and how it attaches is answered on the TAKEOFF tab, section A · SETUP. It is not asked twice.</t>
        </is>
      </c>
    </row>
  </sheetData>
  <mergeCells count="7">
    <mergeCell ref="A4:H4"/>
    <mergeCell ref="A15:H15"/>
    <mergeCell ref="A25:H25"/>
    <mergeCell ref="A2:H2"/>
    <mergeCell ref="A16:H16"/>
    <mergeCell ref="A1:H1"/>
    <mergeCell ref="A8:H8"/>
  </mergeCells>
  <conditionalFormatting sqref="B11">
    <cfRule type="expression" rank="0" priority="2" equalAverage="0" aboveAverage="0" dxfId="0" text="" percent="0" bottom="0">
      <formula>NOT(ISNUMBER(SEARCH("lightweight",$B$10)))</formula>
    </cfRule>
  </conditionalFormatting>
  <conditionalFormatting sqref="D16">
    <cfRule type="expression" rank="0" priority="3" equalAverage="0" aboveAverage="0" dxfId="0" text="" percent="0" bottom="0">
      <formula>UPPER($B16)&lt;&gt;"BUR"</formula>
    </cfRule>
  </conditionalFormatting>
  <conditionalFormatting sqref="F16:G16">
    <cfRule type="expression" rank="0" priority="4" equalAverage="0" aboveAverage="0" dxfId="0" text="" percent="0" bottom="0">
      <formula>OR($E16="",UPPER($E16)="N/A")</formula>
    </cfRule>
  </conditionalFormatting>
  <conditionalFormatting sqref="C16:G16">
    <cfRule type="expression" rank="0" priority="5" equalAverage="0" aboveAverage="0" dxfId="0" text="" percent="0" bottom="0">
      <formula>OR($B16="",UPPER($B16)="N/A")</formula>
    </cfRule>
  </conditionalFormatting>
  <conditionalFormatting sqref="D17">
    <cfRule type="expression" rank="0" priority="6" equalAverage="0" aboveAverage="0" dxfId="0" text="" percent="0" bottom="0">
      <formula>UPPER($B17)&lt;&gt;"BUR"</formula>
    </cfRule>
  </conditionalFormatting>
  <conditionalFormatting sqref="F17:G17">
    <cfRule type="expression" rank="0" priority="7" equalAverage="0" aboveAverage="0" dxfId="0" text="" percent="0" bottom="0">
      <formula>OR($E17="",UPPER($E17)="N/A")</formula>
    </cfRule>
  </conditionalFormatting>
  <conditionalFormatting sqref="C17:G17">
    <cfRule type="expression" rank="0" priority="8" equalAverage="0" aboveAverage="0" dxfId="0" text="" percent="0" bottom="0">
      <formula>OR($B17="",UPPER($B17)="N/A")</formula>
    </cfRule>
  </conditionalFormatting>
  <conditionalFormatting sqref="D18">
    <cfRule type="expression" rank="0" priority="9" equalAverage="0" aboveAverage="0" dxfId="0" text="" percent="0" bottom="0">
      <formula>UPPER($B18)&lt;&gt;"BUR"</formula>
    </cfRule>
  </conditionalFormatting>
  <conditionalFormatting sqref="F18:G18">
    <cfRule type="expression" rank="0" priority="10" equalAverage="0" aboveAverage="0" dxfId="0" text="" percent="0" bottom="0">
      <formula>OR($E18="",UPPER($E18)="N/A")</formula>
    </cfRule>
  </conditionalFormatting>
  <conditionalFormatting sqref="C18:G18">
    <cfRule type="expression" rank="0" priority="11" equalAverage="0" aboveAverage="0" dxfId="0" text="" percent="0" bottom="0">
      <formula>OR($B18="",UPPER($B18)="N/A")</formula>
    </cfRule>
  </conditionalFormatting>
  <dataValidations count="9">
    <dataValidation sqref="B6" showDropDown="0" showInputMessage="0" showErrorMessage="0" allowBlank="1" type="list">
      <formula1>Lists!$L$5:$L$44</formula1>
    </dataValidation>
    <dataValidation sqref="B10" showDropDown="0" showInputMessage="0" showErrorMessage="0" allowBlank="1" type="list">
      <formula1>Lists!$M$5:$M$44</formula1>
    </dataValidation>
    <dataValidation sqref="B12" showDropDown="0" showInputMessage="0" showErrorMessage="0" allowBlank="1" type="list">
      <formula1>Lists!$S$5:$S$44</formula1>
    </dataValidation>
    <dataValidation sqref="B13" showDropDown="0" showInputMessage="0" showErrorMessage="0" allowBlank="1" type="list">
      <formula1>Lists!$T$5:$T$44</formula1>
    </dataValidation>
    <dataValidation sqref="B18:B20" showDropDown="0" showInputMessage="0" showErrorMessage="0" allowBlank="1" type="list">
      <formula1>Lists!$N$5:$N$44</formula1>
    </dataValidation>
    <dataValidation sqref="C18:C20" showDropDown="0" showInputMessage="0" showErrorMessage="0" allowBlank="1" type="list">
      <formula1>Lists!$O$5:$O$44</formula1>
    </dataValidation>
    <dataValidation sqref="F18:F20" showDropDown="0" showInputMessage="0" showErrorMessage="0" allowBlank="1" type="list">
      <formula1>Lists!$O$5:$O$44</formula1>
    </dataValidation>
    <dataValidation sqref="D18:D20" showDropDown="0" showInputMessage="0" showErrorMessage="0" allowBlank="1" type="list">
      <formula1>Lists!$Q$5:$Q$44</formula1>
    </dataValidation>
    <dataValidation sqref="E18:E20" showDropDown="0" showInputMessage="0" showErrorMessage="0" allowBlank="1" type="list">
      <formula1>Lists!$P$5:$P$44</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1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39" min="1" max="1"/>
    <col width="13" customWidth="1" style="139" min="2" max="2"/>
    <col width="15" customWidth="1" style="139" min="3" max="3"/>
    <col width="13" customWidth="1" style="139" min="4" max="6"/>
    <col width="14" customWidth="1" style="139" min="7" max="7"/>
    <col width="12" customWidth="1" style="139" min="8" max="8"/>
    <col width="13" customWidth="1" style="139" min="9" max="9"/>
    <col width="46" customWidth="1" style="139" min="10" max="10"/>
    <col width="18" customWidth="1" style="140" min="11" max="11"/>
    <col width="18" customWidth="1" style="140" min="12" max="12"/>
    <col width="18" customWidth="1" style="140" min="13" max="13"/>
    <col width="60" customWidth="1" style="140" min="14" max="14"/>
  </cols>
  <sheetData>
    <row r="1" ht="32" customHeight="1" s="140">
      <c r="A1" s="432" t="inlineStr">
        <is>
          <t>SMS ROOFING  —  9506 BAMBOO, HOUSTON  ·  WORTHAM BROTHERS  ·  TAKEOFF</t>
        </is>
      </c>
    </row>
    <row r="2" ht="32" customHeight="1" s="140">
      <c r="A2" s="433" t="inlineStr">
        <is>
          <t>PAGE ONE. The dump. Everything here comes off the plans or the takeoff app. Nothing is derived, nothing is priced.</t>
        </is>
      </c>
    </row>
    <row r="3" ht="20" customHeight="1" s="140">
      <c r="A3" s="139" t="inlineStr">
        <is>
          <t>JOB:  __________  ·  __________  ·  __________</t>
        </is>
      </c>
    </row>
    <row r="4" ht="32" customHeight="1" s="140">
      <c r="A4" s="436" t="inlineStr">
        <is>
          <t>A · SETUP   —   what this roof IS.  Everything below funnels off these.</t>
        </is>
      </c>
    </row>
    <row r="5" ht="32" customHeight="1" s="140">
      <c r="A5" s="433" t="inlineStr">
        <is>
          <t>"This is the assembly, not a measurement. None of it comes off the takeoff — it comes off the spec and the manufacturer. Change the fastening pattern for a higher wind uplift and nothing else about the system changes: same sheet, same everything, different pattern."</t>
        </is>
      </c>
    </row>
    <row r="6" ht="20" customHeight="1" s="140">
      <c r="A6" s="165" t="inlineStr">
        <is>
          <t>Item</t>
        </is>
      </c>
      <c r="B6" s="165" t="inlineStr">
        <is>
          <t>Value</t>
        </is>
      </c>
      <c r="C6" s="165" t="inlineStr">
        <is>
          <t>Unit</t>
        </is>
      </c>
      <c r="J6" s="165" t="inlineStr">
        <is>
          <t>Note</t>
        </is>
      </c>
    </row>
    <row r="7" ht="20" customHeight="1" s="140">
      <c r="A7" s="145" t="inlineStr">
        <is>
          <t>System</t>
        </is>
      </c>
      <c r="B7" s="166" t="n"/>
      <c r="J7" s="447" t="n"/>
    </row>
    <row r="8" ht="20" customHeight="1" s="140">
      <c r="A8" s="145" t="inlineStr">
        <is>
          <t>Deck type</t>
        </is>
      </c>
      <c r="B8" s="168" t="n"/>
      <c r="C8" s="169" t="n"/>
      <c r="J8" s="447" t="n"/>
    </row>
    <row r="9" ht="20" customHeight="1" s="140">
      <c r="A9" s="154" t="inlineStr">
        <is>
          <t>Lightweight concrete thickness</t>
        </is>
      </c>
      <c r="B9" s="159" t="n"/>
      <c r="C9" s="157" t="inlineStr">
        <is>
          <t>in</t>
        </is>
      </c>
      <c r="J9" s="445">
        <f>IF(OR(ISNUMBER(SEARCH("lightweight",$B$8)),ISNUMBER(SEARCH("lwic",$B$8))),"how thick the lightweight pour is. A screw has to pass through all of it to reach the metal pan, so this sets the fastener length. 2 in is the usual pour.","not asked — this only comes up when the deck is lightweight concrete")</f>
        <v/>
      </c>
    </row>
    <row r="10" ht="20" customHeight="1" s="140">
      <c r="A10" s="145" t="inlineStr">
        <is>
          <t>Insulation thickness</t>
        </is>
      </c>
      <c r="B10" s="170" t="n"/>
      <c r="C10" s="169" t="inlineStr">
        <is>
          <t>in</t>
        </is>
      </c>
    </row>
    <row r="11" ht="20" customHeight="1" s="140">
      <c r="A11" s="145" t="inlineStr">
        <is>
          <t>Fall — where does it come from?</t>
        </is>
      </c>
      <c r="B11" s="170" t="n"/>
      <c r="C11" s="169" t="n"/>
      <c r="J11" s="448" t="n"/>
    </row>
    <row r="12" ht="20" customHeight="1" s="140">
      <c r="A12" s="145" t="inlineStr">
        <is>
          <t>Membrane thickness</t>
        </is>
      </c>
      <c r="B12" s="170" t="n"/>
      <c r="C12" s="169" t="inlineStr">
        <is>
          <t>mil</t>
        </is>
      </c>
    </row>
    <row r="13" ht="20" customHeight="1" s="140">
      <c r="A13" s="145" t="inlineStr">
        <is>
          <t>Field membrane sheet width (ft)</t>
        </is>
      </c>
      <c r="B13" s="170" t="n"/>
      <c r="C13" s="169" t="inlineStr">
        <is>
          <t>ft</t>
        </is>
      </c>
      <c r="J13" s="447" t="inlineStr">
        <is>
          <t>VARIABLE — what sheet the FIELD gets is up to the job and the system. It has nothing to do with the wall, which is fastened every 5 ft no matter what sheet runs on it.</t>
        </is>
      </c>
    </row>
    <row r="14" ht="20" customHeight="1" s="140">
      <c r="A14" s="145" t="inlineStr">
        <is>
          <t>ISO plates per board</t>
        </is>
      </c>
      <c r="B14" s="516" t="n"/>
      <c r="C14" s="169" t="inlineStr">
        <is>
          <t>ea</t>
        </is>
      </c>
      <c r="J14" s="167" t="inlineStr">
        <is>
          <t>VARIABLE — ask the manufacturer for THIS system. Nothing prices until it is answered.</t>
        </is>
      </c>
    </row>
    <row r="15" ht="20" customHeight="1" s="140">
      <c r="A15" s="145" t="inlineStr">
        <is>
          <t>Wall fastener spacing</t>
        </is>
      </c>
      <c r="B15" s="170" t="n"/>
      <c r="C15" s="169" t="inlineStr">
        <is>
          <t>in o.c.</t>
        </is>
      </c>
      <c r="J15" s="447" t="inlineStr">
        <is>
          <t>THE WIND-UPLIFT LEVER — tighten this and only the fastener count moves</t>
        </is>
      </c>
    </row>
    <row r="16" ht="20" customHeight="1" s="140">
      <c r="A16" s="145" t="inlineStr">
        <is>
          <t>Base flashing fastener spacing</t>
        </is>
      </c>
      <c r="B16" s="170" t="n"/>
      <c r="C16" s="169" t="inlineStr">
        <is>
          <t>in o.c.</t>
        </is>
      </c>
    </row>
    <row r="17" ht="8" customHeight="1" s="140">
      <c r="A17" s="139" t="n"/>
    </row>
    <row r="18" ht="22" customHeight="1" s="140">
      <c r="A18" s="143" t="inlineStr">
        <is>
          <t>B · ROOF AREA</t>
        </is>
      </c>
    </row>
    <row r="19" ht="20" customHeight="1" s="140">
      <c r="A19" s="165" t="inlineStr">
        <is>
          <t>Item</t>
        </is>
      </c>
      <c r="B19" s="165" t="inlineStr">
        <is>
          <t>Value</t>
        </is>
      </c>
      <c r="C19" s="165" t="inlineStr">
        <is>
          <t>Unit</t>
        </is>
      </c>
      <c r="J19" s="165" t="inlineStr">
        <is>
          <t>Note</t>
        </is>
      </c>
    </row>
    <row r="20" ht="20" customHeight="1" s="140">
      <c r="A20" s="145" t="inlineStr">
        <is>
          <t>Field squares</t>
        </is>
      </c>
      <c r="B20" s="171" t="n"/>
      <c r="C20" s="169" t="inlineStr">
        <is>
          <t>sf</t>
        </is>
      </c>
      <c r="J20" s="447" t="inlineStr">
        <is>
          <t>the net field — membrane and cover board both follow this</t>
        </is>
      </c>
    </row>
    <row r="21" ht="20" customHeight="1" s="140">
      <c r="A21" s="145" t="inlineStr">
        <is>
          <t>Perimeter base flashing</t>
        </is>
      </c>
      <c r="B21" s="171" t="n"/>
      <c r="C21" s="169" t="inlineStr">
        <is>
          <t>LF</t>
        </is>
      </c>
      <c r="J21" s="447" t="inlineStr">
        <is>
          <t>HAND COUNT off the plan. Do not derive it.</t>
        </is>
      </c>
    </row>
    <row r="22" ht="20" customHeight="1" s="140">
      <c r="A22" s="154" t="inlineStr">
        <is>
          <t>Curb flashing</t>
        </is>
      </c>
      <c r="B22" s="172" t="n"/>
      <c r="C22" s="157" t="inlineStr">
        <is>
          <t>LF</t>
        </is>
      </c>
      <c r="E22" s="312" t="inlineStr">
        <is>
          <t>Curbs (count)</t>
        </is>
      </c>
      <c r="F22" s="175" t="n"/>
      <c r="J22" s="449" t="inlineStr">
        <is>
          <t>total curb perimeter off the takeoff app — every curb added up. The COUNT beside it drives the corners.</t>
        </is>
      </c>
    </row>
    <row r="23" ht="8" customHeight="1" s="140">
      <c r="A23" s="139" t="n"/>
    </row>
    <row r="24" ht="22" customHeight="1" s="140">
      <c r="A24" s="143" t="inlineStr">
        <is>
          <t>C · COUNTS   —   straight from the takeoff</t>
        </is>
      </c>
    </row>
    <row r="25" ht="20" customHeight="1" s="140">
      <c r="A25" s="165" t="inlineStr">
        <is>
          <t>Item</t>
        </is>
      </c>
      <c r="B25" s="165" t="inlineStr">
        <is>
          <t>Qty</t>
        </is>
      </c>
      <c r="C25" s="165" t="inlineStr">
        <is>
          <t>Unit</t>
        </is>
      </c>
      <c r="J25" s="165" t="inlineStr">
        <is>
          <t>Note</t>
        </is>
      </c>
    </row>
    <row r="26" ht="20" customHeight="1" s="140">
      <c r="A26" s="145" t="inlineStr">
        <is>
          <t>Curb flashing</t>
        </is>
      </c>
      <c r="B26" s="173">
        <f>IFERROR(IF(B22="","",B22),"")</f>
        <v/>
      </c>
      <c r="C26" s="169" t="inlineStr">
        <is>
          <t>LF</t>
        </is>
      </c>
      <c r="J26" s="447" t="inlineStr">
        <is>
          <t>reads the curb flashing LF from section B — do not type it twice</t>
        </is>
      </c>
    </row>
    <row r="27" ht="20" customHeight="1" s="140">
      <c r="A27" s="145" t="inlineStr">
        <is>
          <t>Pitch pans</t>
        </is>
      </c>
      <c r="B27" s="171" t="n"/>
      <c r="C27" s="169" t="inlineStr">
        <is>
          <t>ea</t>
        </is>
      </c>
    </row>
    <row r="28" ht="20" customHeight="1" s="140">
      <c r="A28" s="145" t="inlineStr">
        <is>
          <t>Pipe boots</t>
        </is>
      </c>
      <c r="B28" s="171" t="n"/>
      <c r="C28" s="169" t="inlineStr">
        <is>
          <t>ea</t>
        </is>
      </c>
    </row>
    <row r="29" ht="20" customHeight="1" s="140">
      <c r="A29" s="145" t="inlineStr">
        <is>
          <t>Scuppers</t>
        </is>
      </c>
      <c r="B29" s="171" t="n"/>
      <c r="C29" s="169" t="inlineStr">
        <is>
          <t>ea</t>
        </is>
      </c>
    </row>
    <row r="30" ht="20" customHeight="1" s="140">
      <c r="A30" s="145" t="inlineStr">
        <is>
          <t>Collector heads</t>
        </is>
      </c>
      <c r="B30" s="171" t="n"/>
      <c r="C30" s="169" t="inlineStr">
        <is>
          <t>ea</t>
        </is>
      </c>
    </row>
    <row r="31" ht="20" customHeight="1" s="140">
      <c r="A31" s="145" t="inlineStr">
        <is>
          <t>Roof hatches</t>
        </is>
      </c>
      <c r="B31" s="171" t="n"/>
      <c r="C31" s="169" t="inlineStr">
        <is>
          <t>ea</t>
        </is>
      </c>
      <c r="J31" s="139" t="n"/>
    </row>
    <row r="32" ht="20" customHeight="1" s="140">
      <c r="A32" s="145" t="inlineStr">
        <is>
          <t>Walkpads</t>
        </is>
      </c>
      <c r="B32" s="171" t="n"/>
      <c r="C32" s="169" t="inlineStr">
        <is>
          <t>LF</t>
        </is>
      </c>
      <c r="J32" s="167" t="n"/>
    </row>
    <row r="33" ht="20" customHeight="1" s="140">
      <c r="A33" s="145" t="inlineStr">
        <is>
          <t>Length of cricket wall</t>
        </is>
      </c>
      <c r="B33" s="171" t="n"/>
      <c r="C33" s="169" t="inlineStr">
        <is>
          <t>LF</t>
        </is>
      </c>
      <c r="J33" s="167" t="n"/>
    </row>
    <row r="34" ht="20" customHeight="1" s="140">
      <c r="A34" s="174" t="inlineStr">
        <is>
          <t>Drains</t>
        </is>
      </c>
      <c r="B34" s="175" t="n"/>
      <c r="C34" s="176" t="inlineStr">
        <is>
          <t>ea</t>
        </is>
      </c>
      <c r="J34" s="450" t="inlineStr">
        <is>
          <t>count off the takeoff app. On this roof they cannot be sumped — the deck already falls and the field is one flat layer.</t>
        </is>
      </c>
    </row>
    <row r="35" ht="32" customHeight="1" s="140">
      <c r="A35" s="436" t="inlineStr">
        <is>
          <t>D · PARAPET WALLS   —   one row per facet, lumped by shared detail</t>
        </is>
      </c>
    </row>
    <row r="36" ht="20" customHeight="1" s="140">
      <c r="A36" s="142" t="inlineStr">
        <is>
          <t>"DEVELOPED = the parapet above the deck + the cap width. That is the face the membrane has to cover."</t>
        </is>
      </c>
      <c r="L36" s="306" t="n"/>
      <c r="M36" s="307" t="n"/>
      <c r="N36" s="450" t="inlineStr">
        <is>
          <t>set this once and every wall uses it. Leave a wall blank to follow it; type on a wall to override just that one.</t>
        </is>
      </c>
    </row>
    <row r="37" ht="20" customHeight="1" s="140">
      <c r="A37" s="165" t="inlineStr">
        <is>
          <t>Wall facet / section mark</t>
        </is>
      </c>
      <c r="B37" s="165" t="inlineStr">
        <is>
          <t>Length (ft)</t>
        </is>
      </c>
      <c r="C37" s="165" t="inlineStr">
        <is>
          <t>Parapet above deck (ft)</t>
        </is>
      </c>
      <c r="D37" s="165" t="inlineStr">
        <is>
          <t>Cap width (ft)</t>
        </is>
      </c>
      <c r="E37" s="165" t="n"/>
      <c r="F37" s="165" t="n"/>
      <c r="G37" s="165" t="inlineStr">
        <is>
          <t>DEVELOPED (ft)</t>
        </is>
      </c>
      <c r="H37" s="165" t="inlineStr">
        <is>
          <t>Sq Ft</t>
        </is>
      </c>
      <c r="I37" s="165" t="inlineStr">
        <is>
          <t>In perimeter?</t>
        </is>
      </c>
      <c r="J37" s="165" t="inlineStr">
        <is>
          <t>Note</t>
        </is>
      </c>
      <c r="K37" s="308" t="inlineStr">
        <is>
          <t>Wall substrate</t>
        </is>
      </c>
      <c r="L37" s="308" t="inlineStr">
        <is>
          <t>Substrate used</t>
        </is>
      </c>
    </row>
    <row r="38" ht="20" customHeight="1" s="140">
      <c r="A38" s="145" t="inlineStr">
        <is>
          <t>Wall 1</t>
        </is>
      </c>
      <c r="B38" s="171" t="n"/>
      <c r="C38" s="171" t="n"/>
      <c r="D38" s="171" t="n"/>
      <c r="E38" s="171" t="n"/>
      <c r="F38" s="171" t="n"/>
      <c r="G38" s="178">
        <f>IFERROR(IF(AND(C38="",D38=""),"",N(C38)+N(D38)),"")</f>
        <v/>
      </c>
      <c r="H38" s="178">
        <f>IFERROR(IF(OR(B38="",G38=""),0,B38*G38),"")</f>
        <v/>
      </c>
      <c r="I38" s="168" t="n"/>
      <c r="J38" s="167" t="n"/>
      <c r="K38" s="307" t="n"/>
      <c r="L38" s="451">
        <f>IFERROR(IF(B38="","",IF(K38&lt;&gt;"",K38,IF($M$36&lt;&gt;"",$M$36,""))),"")</f>
        <v/>
      </c>
    </row>
    <row r="39" ht="20" customHeight="1" s="140">
      <c r="A39" s="145" t="inlineStr">
        <is>
          <t>Wall 2</t>
        </is>
      </c>
      <c r="B39" s="171" t="n"/>
      <c r="C39" s="171" t="n"/>
      <c r="D39" s="171" t="n"/>
      <c r="E39" s="171" t="n"/>
      <c r="F39" s="171" t="n"/>
      <c r="G39" s="178">
        <f>IFERROR(IF(AND(C39="",D39=""),"",N(C39)+N(D39)),"")</f>
        <v/>
      </c>
      <c r="H39" s="178">
        <f>IFERROR(IF(OR(B39="",G39=""),0,B39*G39),"")</f>
        <v/>
      </c>
      <c r="I39" s="168" t="n"/>
      <c r="K39" s="307" t="n"/>
      <c r="L39" s="451">
        <f>IFERROR(IF(B39="","",IF(K39&lt;&gt;"",K39,IF($M$36&lt;&gt;"",$M$36,""))),"")</f>
        <v/>
      </c>
    </row>
    <row r="40" ht="20" customHeight="1" s="140">
      <c r="A40" s="145" t="inlineStr">
        <is>
          <t>Wall 3</t>
        </is>
      </c>
      <c r="B40" s="171" t="n"/>
      <c r="C40" s="171" t="n"/>
      <c r="D40" s="171" t="n"/>
      <c r="E40" s="171" t="n"/>
      <c r="F40" s="171" t="n"/>
      <c r="G40" s="178">
        <f>IFERROR(IF(AND(C40="",D40=""),"",N(C40)+N(D40)),"")</f>
        <v/>
      </c>
      <c r="H40" s="178">
        <f>IFERROR(IF(OR(B40="",G40=""),0,B40*G40),"")</f>
        <v/>
      </c>
      <c r="I40" s="168" t="n"/>
      <c r="K40" s="307" t="n"/>
      <c r="L40" s="451">
        <f>IFERROR(IF(B40="","",IF(K40&lt;&gt;"",K40,IF($M$36&lt;&gt;"",$M$36,""))),"")</f>
        <v/>
      </c>
    </row>
    <row r="41" ht="20" customHeight="1" s="140">
      <c r="A41" s="145" t="inlineStr">
        <is>
          <t>Wall 4</t>
        </is>
      </c>
      <c r="B41" s="171" t="n"/>
      <c r="C41" s="171" t="n"/>
      <c r="D41" s="171" t="n"/>
      <c r="E41" s="171" t="n"/>
      <c r="F41" s="171" t="n"/>
      <c r="G41" s="178">
        <f>IFERROR(IF(AND(C41="",D41=""),"",N(C41)+N(D41)),"")</f>
        <v/>
      </c>
      <c r="H41" s="178">
        <f>IFERROR(IF(OR(B41="",G41=""),0,B41*G41),"")</f>
        <v/>
      </c>
      <c r="I41" s="168" t="n"/>
      <c r="K41" s="307" t="n"/>
      <c r="L41" s="451">
        <f>IFERROR(IF(B41="","",IF(K41&lt;&gt;"",K41,IF($M$36&lt;&gt;"",$M$36,""))),"")</f>
        <v/>
      </c>
    </row>
    <row r="42" ht="20" customHeight="1" s="140">
      <c r="A42" s="145" t="inlineStr">
        <is>
          <t>Wall 5</t>
        </is>
      </c>
      <c r="B42" s="171" t="n"/>
      <c r="C42" s="171" t="n"/>
      <c r="D42" s="171" t="n"/>
      <c r="E42" s="171" t="n"/>
      <c r="F42" s="171" t="n"/>
      <c r="G42" s="178">
        <f>IFERROR(IF(AND(C42="",D42=""),"",N(C42)+N(D42)),"")</f>
        <v/>
      </c>
      <c r="H42" s="178">
        <f>IFERROR(IF(OR(B42="",G42=""),0,B42*G42),"")</f>
        <v/>
      </c>
      <c r="I42" s="168" t="n"/>
      <c r="K42" s="307" t="n"/>
      <c r="L42" s="451">
        <f>IFERROR(IF(B42="","",IF(K42&lt;&gt;"",K42,IF($M$36&lt;&gt;"",$M$36,""))),"")</f>
        <v/>
      </c>
    </row>
    <row r="43" ht="20" customHeight="1" s="140">
      <c r="A43" s="145" t="inlineStr">
        <is>
          <t>Wall 6</t>
        </is>
      </c>
      <c r="B43" s="171" t="n"/>
      <c r="C43" s="171" t="n"/>
      <c r="D43" s="171" t="n"/>
      <c r="E43" s="171" t="n"/>
      <c r="F43" s="171" t="n"/>
      <c r="G43" s="178">
        <f>IFERROR(IF(AND(C43="",D43=""),"",N(C43)+N(D43)),"")</f>
        <v/>
      </c>
      <c r="H43" s="178">
        <f>IFERROR(IF(OR(B43="",G43=""),0,B43*G43),"")</f>
        <v/>
      </c>
      <c r="I43" s="168" t="n"/>
      <c r="K43" s="307" t="n"/>
      <c r="L43" s="451">
        <f>IFERROR(IF(B43="","",IF(K43&lt;&gt;"",K43,IF($M$36&lt;&gt;"",$M$36,""))),"")</f>
        <v/>
      </c>
    </row>
    <row r="44" ht="20" customHeight="1" s="140">
      <c r="A44" s="145" t="inlineStr">
        <is>
          <t>Facet 7</t>
        </is>
      </c>
      <c r="B44" s="171" t="n"/>
      <c r="C44" s="171" t="n"/>
      <c r="D44" s="171" t="n"/>
      <c r="E44" s="171" t="n"/>
      <c r="F44" s="171" t="n"/>
      <c r="G44" s="178">
        <f>IFERROR(IF(AND(C44="",D44=""),"",N(C44)+N(D44)),"")</f>
        <v/>
      </c>
      <c r="H44" s="178">
        <f>IFERROR(IF(OR(B44="",G44=""),0,B44*G44),"")</f>
        <v/>
      </c>
      <c r="I44" s="168" t="n"/>
      <c r="K44" s="307" t="n"/>
      <c r="L44" s="451">
        <f>IFERROR(IF(B44="","",IF(K44&lt;&gt;"",K44,IF($M$36&lt;&gt;"",$M$36,""))),"")</f>
        <v/>
      </c>
    </row>
    <row r="45" ht="20" customHeight="1" s="140">
      <c r="A45" s="145" t="inlineStr">
        <is>
          <t>Facet 8</t>
        </is>
      </c>
      <c r="B45" s="171" t="n"/>
      <c r="C45" s="171" t="n"/>
      <c r="D45" s="171" t="n"/>
      <c r="E45" s="171" t="n"/>
      <c r="F45" s="171" t="n"/>
      <c r="G45" s="178">
        <f>IFERROR(IF(AND(C45="",D45=""),"",N(C45)+N(D45)),"")</f>
        <v/>
      </c>
      <c r="H45" s="178">
        <f>IFERROR(IF(OR(B45="",G45=""),0,B45*G45),"")</f>
        <v/>
      </c>
      <c r="I45" s="168" t="n"/>
      <c r="K45" s="307" t="n"/>
      <c r="L45" s="451">
        <f>IFERROR(IF(B45="","",IF(K45&lt;&gt;"",K45,IF($M$36&lt;&gt;"",$M$36,""))),"")</f>
        <v/>
      </c>
    </row>
    <row r="46" ht="20" customHeight="1" s="140">
      <c r="A46" s="144" t="inlineStr">
        <is>
          <t>TOTAL</t>
        </is>
      </c>
      <c r="B46" s="179">
        <f>IFERROR(SUMIF(G38:G45,"&gt;0",B38:B45),"")</f>
        <v/>
      </c>
      <c r="H46" s="179">
        <f>IFERROR(SUM(H38:H45),"")</f>
        <v/>
      </c>
      <c r="I46" s="179">
        <f>IFERROR(SUMIFS(B38:B45,I38:I45,"Y"),"")</f>
        <v/>
      </c>
      <c r="J46" s="167" t="inlineStr">
        <is>
          <t>col I total = building PERIMETER only — anything marked N is excluded</t>
        </is>
      </c>
      <c r="L46" s="450">
        <f>IFERROR(IF(COUNTIF(L38:L45,"?*")=0,"",IF(COUNTIF(L38:L45,L38)=COUNTIF(L38:L45,"?*"),"every wall the same","MIXED — read each wall")),"")</f>
        <v/>
      </c>
    </row>
    <row r="47" ht="8" customHeight="1" s="140">
      <c r="A47" s="139" t="n"/>
    </row>
    <row r="48" ht="32" customHeight="1" s="140">
      <c r="A48" s="436" t="inlineStr">
        <is>
          <t>E · METALS   —   every termination, its cleat, and how it is supplied</t>
        </is>
      </c>
    </row>
    <row r="49" ht="32" customHeight="1" s="140">
      <c r="A49" s="433" t="inlineStr">
        <is>
          <t>"48 ÷ stretch-out = strips across (round DOWN) · x 10 = ft per sheet · LF ÷ that = sheets (round UP). Leave a facet's stretch-out blank where that piece does not run. Each piece carries its own cleat and its own supply method."</t>
        </is>
      </c>
    </row>
    <row r="50" ht="22" customHeight="1" s="140">
      <c r="A50" s="180" t="inlineStr">
        <is>
          <t>E1 · COPING CAP</t>
        </is>
      </c>
      <c r="C50" s="139" t="n"/>
    </row>
    <row r="51" ht="20" customHeight="1" s="140">
      <c r="A51" s="145" t="inlineStr">
        <is>
          <t>Fabricate in-house?</t>
        </is>
      </c>
      <c r="B51" s="168" t="inlineStr">
        <is>
          <t>Y</t>
        </is>
      </c>
      <c r="C51" s="181" t="n"/>
      <c r="D51" s="182" t="n"/>
      <c r="E51" s="183" t="n"/>
      <c r="J51" s="447" t="inlineStr">
        <is>
          <t>DEFAULTS TO Y — SMS fabricates. Change to N only when somebody else is supplying it, and say who. Never leave it N by accident: N means you do not get paid for the fab.</t>
        </is>
      </c>
    </row>
    <row r="52" ht="20" customHeight="1" s="140">
      <c r="A52" s="145" t="inlineStr">
        <is>
          <t>From my takeoff (LF)</t>
        </is>
      </c>
      <c r="B52" s="184" t="n"/>
      <c r="C52" s="185">
        <f>IFERROR(IF(B52="","",B52-B62),"")</f>
        <v/>
      </c>
      <c r="D52" s="186">
        <f>IFERROR(IF(B52="","",IF(ROUND(B52-B62,2)=0,"OK","CHECK")),"")</f>
        <v/>
      </c>
      <c r="J52" s="447" t="inlineStr">
        <is>
          <t>the LF this piece shows on the takeoff app — this sheet builds its own from the facets; the two should agree</t>
        </is>
      </c>
    </row>
    <row r="53" ht="20" customHeight="1" s="140">
      <c r="A53" s="165" t="inlineStr">
        <is>
          <t>Piece</t>
        </is>
      </c>
      <c r="B53" s="165" t="inlineStr">
        <is>
          <t>Length (ft)</t>
        </is>
      </c>
      <c r="C53" s="165" t="inlineStr">
        <is>
          <t>Stretch-out (in)</t>
        </is>
      </c>
      <c r="D53" s="165" t="inlineStr">
        <is>
          <t>Strips</t>
        </is>
      </c>
      <c r="E53" s="165" t="inlineStr">
        <is>
          <t>Ft / sheet</t>
        </is>
      </c>
      <c r="F53" s="165" t="inlineStr">
        <is>
          <t>RAW sheets</t>
        </is>
      </c>
      <c r="G53" s="165" t="inlineStr">
        <is>
          <t>Sheets</t>
        </is>
      </c>
      <c r="J53" s="165" t="inlineStr">
        <is>
          <t>Note</t>
        </is>
      </c>
    </row>
    <row r="54" ht="20" customHeight="1" s="140">
      <c r="A54" s="145">
        <f>IFERROR(IF(A38="","",A38),"")</f>
        <v/>
      </c>
      <c r="B54" s="187">
        <f>IFERROR(IF(B38="","",B38),"")</f>
        <v/>
      </c>
      <c r="C54" s="170" t="n"/>
      <c r="D54" s="188">
        <f>IFERROR(IF(NOT(UPPER(B51)="Y"),"",IF(C54="","",ROUNDDOWN(48/C54,0))),"")</f>
        <v/>
      </c>
      <c r="E54" s="188">
        <f>IFERROR(IF(NOT(UPPER(B51)="Y"),"",IF(D54="","",D54*10)),"")</f>
        <v/>
      </c>
      <c r="F54" s="189">
        <f>IFERROR(IF(NOT(UPPER(B51)="Y"),"",IF(OR(B54="",E54="",E54=0),"",B54/E54)),"")</f>
        <v/>
      </c>
      <c r="G54" s="452">
        <f>IFERROR(IF(NOT(UPPER(B51)="Y"),"",IF(F54="","",ROUNDUP(F54,0))),"")</f>
        <v/>
      </c>
    </row>
    <row r="55" ht="20" customHeight="1" s="140">
      <c r="A55" s="145">
        <f>IFERROR(IF(A39="","",A39),"")</f>
        <v/>
      </c>
      <c r="B55" s="187">
        <f>IFERROR(IF(B39="","",B39),"")</f>
        <v/>
      </c>
      <c r="C55" s="170" t="n"/>
      <c r="D55" s="188">
        <f>IFERROR(IF(NOT(UPPER(B51)="Y"),"",IF(C55="","",ROUNDDOWN(48/C55,0))),"")</f>
        <v/>
      </c>
      <c r="E55" s="188">
        <f>IFERROR(IF(NOT(UPPER(B51)="Y"),"",IF(D55="","",D55*10)),"")</f>
        <v/>
      </c>
      <c r="F55" s="189">
        <f>IFERROR(IF(NOT(UPPER(B51)="Y"),"",IF(OR(B55="",E55="",E55=0),"",B55/E55)),"")</f>
        <v/>
      </c>
      <c r="G55" s="452">
        <f>IFERROR(IF(NOT(UPPER(B51)="Y"),"",IF(F55="","",ROUNDUP(F55,0))),"")</f>
        <v/>
      </c>
    </row>
    <row r="56" ht="20" customHeight="1" s="140">
      <c r="A56" s="145">
        <f>IFERROR(IF(A40="","",A40),"")</f>
        <v/>
      </c>
      <c r="B56" s="187">
        <f>IFERROR(IF(B40="","",B40),"")</f>
        <v/>
      </c>
      <c r="C56" s="170" t="n"/>
      <c r="D56" s="188">
        <f>IFERROR(IF(NOT(UPPER(B51)="Y"),"",IF(C56="","",ROUNDDOWN(48/C56,0))),"")</f>
        <v/>
      </c>
      <c r="E56" s="188">
        <f>IFERROR(IF(NOT(UPPER(B51)="Y"),"",IF(D56="","",D56*10)),"")</f>
        <v/>
      </c>
      <c r="F56" s="189">
        <f>IFERROR(IF(NOT(UPPER(B51)="Y"),"",IF(OR(B56="",E56="",E56=0),"",B56/E56)),"")</f>
        <v/>
      </c>
      <c r="G56" s="452">
        <f>IFERROR(IF(NOT(UPPER(B51)="Y"),"",IF(F56="","",ROUNDUP(F56,0))),"")</f>
        <v/>
      </c>
    </row>
    <row r="57" ht="20" customHeight="1" s="140">
      <c r="A57" s="145">
        <f>IFERROR(IF(A41="","",A41),"")</f>
        <v/>
      </c>
      <c r="B57" s="187">
        <f>IFERROR(IF(B41="","",B41),"")</f>
        <v/>
      </c>
      <c r="C57" s="170" t="n"/>
      <c r="D57" s="188">
        <f>IFERROR(IF(NOT(UPPER(B51)="Y"),"",IF(C57="","",ROUNDDOWN(48/C57,0))),"")</f>
        <v/>
      </c>
      <c r="E57" s="188">
        <f>IFERROR(IF(NOT(UPPER(B51)="Y"),"",IF(D57="","",D57*10)),"")</f>
        <v/>
      </c>
      <c r="F57" s="189">
        <f>IFERROR(IF(NOT(UPPER(B51)="Y"),"",IF(OR(B57="",E57="",E57=0),"",B57/E57)),"")</f>
        <v/>
      </c>
      <c r="G57" s="452">
        <f>IFERROR(IF(NOT(UPPER(B51)="Y"),"",IF(F57="","",ROUNDUP(F57,0))),"")</f>
        <v/>
      </c>
    </row>
    <row r="58" ht="20" customHeight="1" s="140">
      <c r="A58" s="145">
        <f>IFERROR(IF(A42="","",A42),"")</f>
        <v/>
      </c>
      <c r="B58" s="187">
        <f>IFERROR(IF(B42="","",B42),"")</f>
        <v/>
      </c>
      <c r="C58" s="170" t="n"/>
      <c r="D58" s="188">
        <f>IFERROR(IF(NOT(UPPER(B51)="Y"),"",IF(C58="","",ROUNDDOWN(48/C58,0))),"")</f>
        <v/>
      </c>
      <c r="E58" s="188">
        <f>IFERROR(IF(NOT(UPPER(B51)="Y"),"",IF(D58="","",D58*10)),"")</f>
        <v/>
      </c>
      <c r="F58" s="189">
        <f>IFERROR(IF(NOT(UPPER(B51)="Y"),"",IF(OR(B58="",E58="",E58=0),"",B58/E58)),"")</f>
        <v/>
      </c>
      <c r="G58" s="452">
        <f>IFERROR(IF(NOT(UPPER(B51)="Y"),"",IF(F58="","",ROUNDUP(F58,0))),"")</f>
        <v/>
      </c>
    </row>
    <row r="59" ht="20" customHeight="1" s="140">
      <c r="A59" s="145">
        <f>IFERROR(IF(A43="","",A43),"")</f>
        <v/>
      </c>
      <c r="B59" s="187">
        <f>IFERROR(IF(B43="","",B43),"")</f>
        <v/>
      </c>
      <c r="C59" s="170" t="n"/>
      <c r="D59" s="188">
        <f>IFERROR(IF(NOT(UPPER(B51)="Y"),"",IF(C59="","",ROUNDDOWN(48/C59,0))),"")</f>
        <v/>
      </c>
      <c r="E59" s="188">
        <f>IFERROR(IF(NOT(UPPER(B51)="Y"),"",IF(D59="","",D59*10)),"")</f>
        <v/>
      </c>
      <c r="F59" s="189">
        <f>IFERROR(IF(NOT(UPPER(B51)="Y"),"",IF(OR(B59="",E59="",E59=0),"",B59/E59)),"")</f>
        <v/>
      </c>
      <c r="G59" s="452">
        <f>IFERROR(IF(NOT(UPPER(B51)="Y"),"",IF(F59="","",ROUNDUP(F59,0))),"")</f>
        <v/>
      </c>
    </row>
    <row r="60" ht="20" customHeight="1" s="140">
      <c r="A60" s="145">
        <f>IFERROR(IF(A44="","",A44),"")</f>
        <v/>
      </c>
      <c r="B60" s="187">
        <f>IFERROR(IF(B44="","",B44),"")</f>
        <v/>
      </c>
      <c r="C60" s="170" t="n"/>
      <c r="D60" s="188">
        <f>IFERROR(IF(NOT(UPPER(B51)="Y"),"",IF(C60="","",ROUNDDOWN(48/C60,0))),"")</f>
        <v/>
      </c>
      <c r="E60" s="188">
        <f>IFERROR(IF(NOT(UPPER(B51)="Y"),"",IF(D60="","",D60*10)),"")</f>
        <v/>
      </c>
      <c r="F60" s="189">
        <f>IFERROR(IF(NOT(UPPER(B51)="Y"),"",IF(OR(B60="",E60="",E60=0),"",B60/E60)),"")</f>
        <v/>
      </c>
      <c r="G60" s="452">
        <f>IFERROR(IF(NOT(UPPER(B51)="Y"),"",IF(F60="","",ROUNDUP(F60,0))),"")</f>
        <v/>
      </c>
    </row>
    <row r="61" ht="20" customHeight="1" s="140">
      <c r="A61" s="145" t="inlineStr">
        <is>
          <t>Perimeter adjustment</t>
        </is>
      </c>
      <c r="B61" s="171" t="n"/>
      <c r="C61" s="170" t="n"/>
      <c r="D61" s="188">
        <f>IFERROR(IF(NOT(UPPER(B51)="Y"),"",IF(C61="","",ROUNDDOWN(48/C61,0))),"")</f>
        <v/>
      </c>
      <c r="E61" s="188">
        <f>IFERROR(IF(NOT(UPPER(B51)="Y"),"",IF(D61="","",D61*10)),"")</f>
        <v/>
      </c>
      <c r="F61" s="189">
        <f>IFERROR(IF(NOT(UPPER(B51)="Y"),"",IF(OR(B61="",E61="",E61=0),"",B61/E61)),"")</f>
        <v/>
      </c>
      <c r="G61" s="188">
        <f>IFERROR(IF(NOT(UPPER(B51)="Y"),"",IF(F61="","",ROUNDUP(F61,0))),"")</f>
        <v/>
      </c>
      <c r="J61" s="447" t="inlineStr">
        <is>
          <t>the metal perimeter from the takeoff, less what the rows above already cover</t>
        </is>
      </c>
    </row>
    <row r="62" ht="20" customHeight="1" s="140">
      <c r="A62" s="144" t="inlineStr">
        <is>
          <t>TOTAL</t>
        </is>
      </c>
      <c r="B62" s="179">
        <f>IFERROR(IF(COUNT(C54:C61)=0,"",SUMIF(C54:C61,"&lt;&gt;",B54:B61)),"")</f>
        <v/>
      </c>
      <c r="G62" s="190">
        <f>IFERROR(IF(OR(UPPER(B51)&lt;&gt;"Y",COUNT(G54:G61)=0),"",SUM(G54:G61)),"")</f>
        <v/>
      </c>
      <c r="J62" s="447" t="inlineStr">
        <is>
          <t>LF counts only facets with a stretch-out. Everything to the right blanks out when this piece is prefab.</t>
        </is>
      </c>
    </row>
    <row r="63" ht="8" customHeight="1" s="140">
      <c r="A63" s="139" t="n"/>
    </row>
    <row r="64" ht="22" customHeight="1" s="140">
      <c r="A64" s="180" t="inlineStr">
        <is>
          <t>E2 · GRAVEL STOP</t>
        </is>
      </c>
      <c r="C64" s="139" t="n"/>
    </row>
    <row r="65" ht="20" customHeight="1" s="140">
      <c r="A65" s="145" t="inlineStr">
        <is>
          <t>Fabricate in-house?</t>
        </is>
      </c>
      <c r="B65" s="168" t="inlineStr">
        <is>
          <t>Y</t>
        </is>
      </c>
      <c r="C65" s="181" t="n"/>
      <c r="D65" s="182" t="n"/>
      <c r="E65" s="183" t="n"/>
      <c r="J65" s="447" t="inlineStr">
        <is>
          <t>DEFAULTS TO Y — SMS fabricates. Change to N only when somebody else is supplying it, and say who. Never leave it N by accident: N means you do not get paid for the fab.</t>
        </is>
      </c>
    </row>
    <row r="66" ht="20" customHeight="1" s="140">
      <c r="A66" s="145" t="inlineStr">
        <is>
          <t>From my takeoff (LF)</t>
        </is>
      </c>
      <c r="B66" s="184" t="n"/>
      <c r="C66" s="185">
        <f>IFERROR(IF(B66="","",B66-B76),"")</f>
        <v/>
      </c>
      <c r="D66" s="186">
        <f>IFERROR(IF(B66="","",IF(ROUND(B66-B76,2)=0,"OK","CHECK")),"")</f>
        <v/>
      </c>
      <c r="J66" s="450" t="inlineStr">
        <is>
          <t>the gravel stop run off the takeoff app. Cover tape, primer and brushes all measure against this.</t>
        </is>
      </c>
    </row>
    <row r="67" ht="20" customHeight="1" s="140">
      <c r="A67" s="165" t="inlineStr">
        <is>
          <t>Piece</t>
        </is>
      </c>
      <c r="B67" s="165" t="inlineStr">
        <is>
          <t>Length (ft)</t>
        </is>
      </c>
      <c r="C67" s="165" t="inlineStr">
        <is>
          <t>Stretch-out (in)</t>
        </is>
      </c>
      <c r="D67" s="165" t="inlineStr">
        <is>
          <t>Strips</t>
        </is>
      </c>
      <c r="E67" s="165" t="inlineStr">
        <is>
          <t>Ft / sheet</t>
        </is>
      </c>
      <c r="F67" s="165" t="inlineStr">
        <is>
          <t>RAW sheets</t>
        </is>
      </c>
      <c r="G67" s="165" t="inlineStr">
        <is>
          <t>Sheets</t>
        </is>
      </c>
      <c r="J67" s="165" t="inlineStr">
        <is>
          <t>Note</t>
        </is>
      </c>
    </row>
    <row r="68" ht="20" customHeight="1" s="140">
      <c r="A68" s="145">
        <f>IFERROR(IF(A38="","",A38),"")</f>
        <v/>
      </c>
      <c r="B68" s="187">
        <f>IFERROR(IF(B38="","",B38),"")</f>
        <v/>
      </c>
      <c r="C68" s="170" t="n"/>
      <c r="D68" s="188">
        <f>IFERROR(IF(NOT(UPPER(B65)="Y"),"",IF(C68="","",ROUNDDOWN(48/C68,0))),"")</f>
        <v/>
      </c>
      <c r="E68" s="188">
        <f>IFERROR(IF(NOT(UPPER(B65)="Y"),"",IF(D68="","",D68*10)),"")</f>
        <v/>
      </c>
      <c r="F68" s="189">
        <f>IFERROR(IF(NOT(UPPER(B65)="Y"),"",IF(OR(B68="",E68="",E68=0),"",B68/E68)),"")</f>
        <v/>
      </c>
      <c r="G68" s="452">
        <f>IFERROR(IF(NOT(UPPER(B65)="Y"),"",IF(F68="","",ROUNDUP(F68,0))),"")</f>
        <v/>
      </c>
    </row>
    <row r="69" ht="20" customHeight="1" s="140">
      <c r="A69" s="145">
        <f>IFERROR(IF(A39="","",A39),"")</f>
        <v/>
      </c>
      <c r="B69" s="187">
        <f>IFERROR(IF(B39="","",B39),"")</f>
        <v/>
      </c>
      <c r="C69" s="170" t="n"/>
      <c r="D69" s="188">
        <f>IFERROR(IF(NOT(UPPER(B65)="Y"),"",IF(C69="","",ROUNDDOWN(48/C69,0))),"")</f>
        <v/>
      </c>
      <c r="E69" s="188">
        <f>IFERROR(IF(NOT(UPPER(B65)="Y"),"",IF(D69="","",D69*10)),"")</f>
        <v/>
      </c>
      <c r="F69" s="189">
        <f>IFERROR(IF(NOT(UPPER(B65)="Y"),"",IF(OR(B69="",E69="",E69=0),"",B69/E69)),"")</f>
        <v/>
      </c>
      <c r="G69" s="452">
        <f>IFERROR(IF(NOT(UPPER(B65)="Y"),"",IF(F69="","",ROUNDUP(F69,0))),"")</f>
        <v/>
      </c>
    </row>
    <row r="70" ht="20" customHeight="1" s="140">
      <c r="A70" s="145">
        <f>IFERROR(IF(A40="","",A40),"")</f>
        <v/>
      </c>
      <c r="B70" s="187">
        <f>IFERROR(IF(B40="","",B40),"")</f>
        <v/>
      </c>
      <c r="C70" s="170" t="n"/>
      <c r="D70" s="188">
        <f>IFERROR(IF(NOT(UPPER(B65)="Y"),"",IF(C70="","",ROUNDDOWN(48/C70,0))),"")</f>
        <v/>
      </c>
      <c r="E70" s="188">
        <f>IFERROR(IF(NOT(UPPER(B65)="Y"),"",IF(D70="","",D70*10)),"")</f>
        <v/>
      </c>
      <c r="F70" s="189">
        <f>IFERROR(IF(NOT(UPPER(B65)="Y"),"",IF(OR(B70="",E70="",E70=0),"",B70/E70)),"")</f>
        <v/>
      </c>
      <c r="G70" s="452">
        <f>IFERROR(IF(NOT(UPPER(B65)="Y"),"",IF(F70="","",ROUNDUP(F70,0))),"")</f>
        <v/>
      </c>
    </row>
    <row r="71" ht="20" customHeight="1" s="140">
      <c r="A71" s="145">
        <f>IFERROR(IF(A41="","",A41),"")</f>
        <v/>
      </c>
      <c r="B71" s="187">
        <f>IFERROR(IF(B41="","",B41),"")</f>
        <v/>
      </c>
      <c r="C71" s="170" t="n"/>
      <c r="D71" s="188">
        <f>IFERROR(IF(NOT(UPPER(B65)="Y"),"",IF(C71="","",ROUNDDOWN(48/C71,0))),"")</f>
        <v/>
      </c>
      <c r="E71" s="188">
        <f>IFERROR(IF(NOT(UPPER(B65)="Y"),"",IF(D71="","",D71*10)),"")</f>
        <v/>
      </c>
      <c r="F71" s="189">
        <f>IFERROR(IF(NOT(UPPER(B65)="Y"),"",IF(OR(B71="",E71="",E71=0),"",B71/E71)),"")</f>
        <v/>
      </c>
      <c r="G71" s="452">
        <f>IFERROR(IF(NOT(UPPER(B65)="Y"),"",IF(F71="","",ROUNDUP(F71,0))),"")</f>
        <v/>
      </c>
    </row>
    <row r="72" ht="20" customHeight="1" s="140">
      <c r="A72" s="145">
        <f>IFERROR(IF(A42="","",A42),"")</f>
        <v/>
      </c>
      <c r="B72" s="187">
        <f>IFERROR(IF(B42="","",B42),"")</f>
        <v/>
      </c>
      <c r="C72" s="170" t="n"/>
      <c r="D72" s="188">
        <f>IFERROR(IF(NOT(UPPER(B65)="Y"),"",IF(C72="","",ROUNDDOWN(48/C72,0))),"")</f>
        <v/>
      </c>
      <c r="E72" s="188">
        <f>IFERROR(IF(NOT(UPPER(B65)="Y"),"",IF(D72="","",D72*10)),"")</f>
        <v/>
      </c>
      <c r="F72" s="189">
        <f>IFERROR(IF(NOT(UPPER(B65)="Y"),"",IF(OR(B72="",E72="",E72=0),"",B72/E72)),"")</f>
        <v/>
      </c>
      <c r="G72" s="452">
        <f>IFERROR(IF(NOT(UPPER(B65)="Y"),"",IF(F72="","",ROUNDUP(F72,0))),"")</f>
        <v/>
      </c>
    </row>
    <row r="73" ht="20" customHeight="1" s="140">
      <c r="A73" s="145">
        <f>IFERROR(IF(A43="","",A43),"")</f>
        <v/>
      </c>
      <c r="B73" s="187">
        <f>IFERROR(IF(B43="","",B43),"")</f>
        <v/>
      </c>
      <c r="C73" s="170" t="n"/>
      <c r="D73" s="188">
        <f>IFERROR(IF(NOT(UPPER(B65)="Y"),"",IF(C73="","",ROUNDDOWN(48/C73,0))),"")</f>
        <v/>
      </c>
      <c r="E73" s="188">
        <f>IFERROR(IF(NOT(UPPER(B65)="Y"),"",IF(D73="","",D73*10)),"")</f>
        <v/>
      </c>
      <c r="F73" s="189">
        <f>IFERROR(IF(NOT(UPPER(B65)="Y"),"",IF(OR(B73="",E73="",E73=0),"",B73/E73)),"")</f>
        <v/>
      </c>
      <c r="G73" s="452">
        <f>IFERROR(IF(NOT(UPPER(B65)="Y"),"",IF(F73="","",ROUNDUP(F73,0))),"")</f>
        <v/>
      </c>
    </row>
    <row r="74" ht="20" customHeight="1" s="140">
      <c r="A74" s="145">
        <f>IFERROR(IF(A44="","",A44),"")</f>
        <v/>
      </c>
      <c r="B74" s="187">
        <f>IFERROR(IF(B44="","",B44),"")</f>
        <v/>
      </c>
      <c r="C74" s="170" t="n"/>
      <c r="D74" s="188">
        <f>IFERROR(IF(NOT(UPPER(B65)="Y"),"",IF(C74="","",ROUNDDOWN(48/C74,0))),"")</f>
        <v/>
      </c>
      <c r="E74" s="188">
        <f>IFERROR(IF(NOT(UPPER(B65)="Y"),"",IF(D74="","",D74*10)),"")</f>
        <v/>
      </c>
      <c r="F74" s="189">
        <f>IFERROR(IF(NOT(UPPER(B65)="Y"),"",IF(OR(B74="",E74="",E74=0),"",B74/E74)),"")</f>
        <v/>
      </c>
      <c r="G74" s="452">
        <f>IFERROR(IF(NOT(UPPER(B65)="Y"),"",IF(F74="","",ROUNDUP(F74,0))),"")</f>
        <v/>
      </c>
    </row>
    <row r="75" ht="20" customHeight="1" s="140">
      <c r="A75" s="145" t="inlineStr">
        <is>
          <t>Perimeter adjustment</t>
        </is>
      </c>
      <c r="B75" s="171" t="n"/>
      <c r="C75" s="170" t="n"/>
      <c r="D75" s="188">
        <f>IFERROR(IF(NOT(UPPER(B65)="Y"),"",IF(C75="","",ROUNDDOWN(48/C75,0))),"")</f>
        <v/>
      </c>
      <c r="E75" s="188">
        <f>IFERROR(IF(NOT(UPPER(B65)="Y"),"",IF(D75="","",D75*10)),"")</f>
        <v/>
      </c>
      <c r="F75" s="189">
        <f>IFERROR(IF(NOT(UPPER(B65)="Y"),"",IF(OR(B75="",E75="",E75=0),"",B75/E75)),"")</f>
        <v/>
      </c>
      <c r="G75" s="188">
        <f>IFERROR(IF(NOT(UPPER(B65)="Y"),"",IF(F75="","",ROUNDUP(F75,0))),"")</f>
        <v/>
      </c>
      <c r="J75" s="447" t="inlineStr">
        <is>
          <t>the metal perimeter from the takeoff, less what the rows above already cover</t>
        </is>
      </c>
    </row>
    <row r="76" ht="20" customHeight="1" s="140">
      <c r="A76" s="144" t="inlineStr">
        <is>
          <t>TOTAL</t>
        </is>
      </c>
      <c r="B76" s="179">
        <f>IFERROR(IF(COUNT(C68:C75)=0,"",SUMIF(C68:C75,"&lt;&gt;",B68:B75)),"")</f>
        <v/>
      </c>
      <c r="G76" s="190">
        <f>IFERROR(IF(OR(UPPER(B65)&lt;&gt;"Y",COUNT(G68:G75)=0),"",SUM(G68:G75)),"")</f>
        <v/>
      </c>
      <c r="J76" s="447" t="inlineStr">
        <is>
          <t>LF counts only facets with a stretch-out. Everything to the right blanks out when this piece is prefab.</t>
        </is>
      </c>
    </row>
    <row r="77" ht="8" customHeight="1" s="140">
      <c r="A77" s="139" t="n"/>
    </row>
    <row r="78" ht="22" customHeight="1" s="140">
      <c r="A78" s="180" t="inlineStr">
        <is>
          <t>E3 · COUNTER FLASHING</t>
        </is>
      </c>
      <c r="C78" s="139" t="n"/>
    </row>
    <row r="79" ht="20" customHeight="1" s="140">
      <c r="A79" s="145" t="inlineStr">
        <is>
          <t>Fabricate in-house?</t>
        </is>
      </c>
      <c r="B79" s="168" t="inlineStr">
        <is>
          <t>Y</t>
        </is>
      </c>
      <c r="C79" s="181" t="n"/>
      <c r="D79" s="182" t="n"/>
      <c r="E79" s="183" t="n"/>
      <c r="J79" s="447" t="inlineStr">
        <is>
          <t>DEFAULTS TO Y — SMS fabricates. Change to N only when somebody else is supplying it, and say who. Never leave it N by accident: N means you do not get paid for the fab.</t>
        </is>
      </c>
    </row>
    <row r="80" ht="20" customHeight="1" s="140">
      <c r="A80" s="145" t="inlineStr">
        <is>
          <t>From my takeoff (LF)</t>
        </is>
      </c>
      <c r="B80" s="184" t="n"/>
      <c r="C80" s="185">
        <f>IFERROR(IF(B80="","",B80-B90),"")</f>
        <v/>
      </c>
      <c r="D80" s="186">
        <f>IFERROR(IF(B80="","",IF(ROUND(B80-B90,2)=0,"OK","CHECK")),"")</f>
        <v/>
      </c>
      <c r="J80" s="447" t="inlineStr">
        <is>
          <t>the LF this piece shows on the takeoff app — this sheet builds its own from the facets; the two should agree</t>
        </is>
      </c>
    </row>
    <row r="81" ht="20" customHeight="1" s="140">
      <c r="A81" s="165" t="inlineStr">
        <is>
          <t>Piece</t>
        </is>
      </c>
      <c r="B81" s="165" t="inlineStr">
        <is>
          <t>Length (ft)</t>
        </is>
      </c>
      <c r="C81" s="165" t="inlineStr">
        <is>
          <t>Stretch-out (in)</t>
        </is>
      </c>
      <c r="D81" s="165" t="inlineStr">
        <is>
          <t>Strips</t>
        </is>
      </c>
      <c r="E81" s="165" t="inlineStr">
        <is>
          <t>Ft / sheet</t>
        </is>
      </c>
      <c r="F81" s="165" t="inlineStr">
        <is>
          <t>RAW sheets</t>
        </is>
      </c>
      <c r="G81" s="165" t="inlineStr">
        <is>
          <t>Sheets</t>
        </is>
      </c>
      <c r="J81" s="165" t="inlineStr">
        <is>
          <t>Note</t>
        </is>
      </c>
    </row>
    <row r="82" ht="20" customHeight="1" s="140">
      <c r="A82" s="145">
        <f>IFERROR(IF(A38="","",A38),"")</f>
        <v/>
      </c>
      <c r="B82" s="187">
        <f>IFERROR(IF(B38="","",B38),"")</f>
        <v/>
      </c>
      <c r="C82" s="170" t="n"/>
      <c r="D82" s="188">
        <f>IFERROR(IF(NOT(UPPER(B79)="Y"),"",IF(C82="","",ROUNDDOWN(48/C82,0))),"")</f>
        <v/>
      </c>
      <c r="E82" s="188">
        <f>IFERROR(IF(NOT(UPPER(B79)="Y"),"",IF(D82="","",D82*10)),"")</f>
        <v/>
      </c>
      <c r="F82" s="189">
        <f>IFERROR(IF(NOT(UPPER(B79)="Y"),"",IF(OR(B82="",E82="",E82=0),"",B82/E82)),"")</f>
        <v/>
      </c>
      <c r="G82" s="452">
        <f>IFERROR(IF(NOT(UPPER(B79)="Y"),"",IF(F82="","",ROUNDUP(F82,0))),"")</f>
        <v/>
      </c>
    </row>
    <row r="83" ht="20" customHeight="1" s="140">
      <c r="A83" s="145">
        <f>IFERROR(IF(A39="","",A39),"")</f>
        <v/>
      </c>
      <c r="B83" s="187">
        <f>IFERROR(IF(B39="","",B39),"")</f>
        <v/>
      </c>
      <c r="C83" s="170" t="n"/>
      <c r="D83" s="188">
        <f>IFERROR(IF(NOT(UPPER(B79)="Y"),"",IF(C83="","",ROUNDDOWN(48/C83,0))),"")</f>
        <v/>
      </c>
      <c r="E83" s="188">
        <f>IFERROR(IF(NOT(UPPER(B79)="Y"),"",IF(D83="","",D83*10)),"")</f>
        <v/>
      </c>
      <c r="F83" s="189">
        <f>IFERROR(IF(NOT(UPPER(B79)="Y"),"",IF(OR(B83="",E83="",E83=0),"",B83/E83)),"")</f>
        <v/>
      </c>
      <c r="G83" s="452">
        <f>IFERROR(IF(NOT(UPPER(B79)="Y"),"",IF(F83="","",ROUNDUP(F83,0))),"")</f>
        <v/>
      </c>
    </row>
    <row r="84" ht="20" customHeight="1" s="140">
      <c r="A84" s="145">
        <f>IFERROR(IF(A40="","",A40),"")</f>
        <v/>
      </c>
      <c r="B84" s="187">
        <f>IFERROR(IF(B40="","",B40),"")</f>
        <v/>
      </c>
      <c r="C84" s="170" t="n"/>
      <c r="D84" s="188">
        <f>IFERROR(IF(NOT(UPPER(B79)="Y"),"",IF(C84="","",ROUNDDOWN(48/C84,0))),"")</f>
        <v/>
      </c>
      <c r="E84" s="188">
        <f>IFERROR(IF(NOT(UPPER(B79)="Y"),"",IF(D84="","",D84*10)),"")</f>
        <v/>
      </c>
      <c r="F84" s="189">
        <f>IFERROR(IF(NOT(UPPER(B79)="Y"),"",IF(OR(B84="",E84="",E84=0),"",B84/E84)),"")</f>
        <v/>
      </c>
      <c r="G84" s="452">
        <f>IFERROR(IF(NOT(UPPER(B79)="Y"),"",IF(F84="","",ROUNDUP(F84,0))),"")</f>
        <v/>
      </c>
    </row>
    <row r="85" ht="20" customHeight="1" s="140">
      <c r="A85" s="145">
        <f>IFERROR(IF(A41="","",A41),"")</f>
        <v/>
      </c>
      <c r="B85" s="187">
        <f>IFERROR(IF(B41="","",B41),"")</f>
        <v/>
      </c>
      <c r="C85" s="170" t="n"/>
      <c r="D85" s="188">
        <f>IFERROR(IF(NOT(UPPER(B79)="Y"),"",IF(C85="","",ROUNDDOWN(48/C85,0))),"")</f>
        <v/>
      </c>
      <c r="E85" s="188">
        <f>IFERROR(IF(NOT(UPPER(B79)="Y"),"",IF(D85="","",D85*10)),"")</f>
        <v/>
      </c>
      <c r="F85" s="189">
        <f>IFERROR(IF(NOT(UPPER(B79)="Y"),"",IF(OR(B85="",E85="",E85=0),"",B85/E85)),"")</f>
        <v/>
      </c>
      <c r="G85" s="452">
        <f>IFERROR(IF(NOT(UPPER(B79)="Y"),"",IF(F85="","",ROUNDUP(F85,0))),"")</f>
        <v/>
      </c>
    </row>
    <row r="86" ht="20" customHeight="1" s="140">
      <c r="A86" s="145">
        <f>IFERROR(IF(A42="","",A42),"")</f>
        <v/>
      </c>
      <c r="B86" s="187">
        <f>IFERROR(IF(B42="","",B42),"")</f>
        <v/>
      </c>
      <c r="C86" s="170" t="n"/>
      <c r="D86" s="188">
        <f>IFERROR(IF(NOT(UPPER(B79)="Y"),"",IF(C86="","",ROUNDDOWN(48/C86,0))),"")</f>
        <v/>
      </c>
      <c r="E86" s="188">
        <f>IFERROR(IF(NOT(UPPER(B79)="Y"),"",IF(D86="","",D86*10)),"")</f>
        <v/>
      </c>
      <c r="F86" s="189">
        <f>IFERROR(IF(NOT(UPPER(B79)="Y"),"",IF(OR(B86="",E86="",E86=0),"",B86/E86)),"")</f>
        <v/>
      </c>
      <c r="G86" s="452">
        <f>IFERROR(IF(NOT(UPPER(B79)="Y"),"",IF(F86="","",ROUNDUP(F86,0))),"")</f>
        <v/>
      </c>
    </row>
    <row r="87" ht="20" customHeight="1" s="140">
      <c r="A87" s="145">
        <f>IFERROR(IF(A43="","",A43),"")</f>
        <v/>
      </c>
      <c r="B87" s="187">
        <f>IFERROR(IF(B43="","",B43),"")</f>
        <v/>
      </c>
      <c r="C87" s="170" t="n"/>
      <c r="D87" s="188">
        <f>IFERROR(IF(NOT(UPPER(B79)="Y"),"",IF(C87="","",ROUNDDOWN(48/C87,0))),"")</f>
        <v/>
      </c>
      <c r="E87" s="188">
        <f>IFERROR(IF(NOT(UPPER(B79)="Y"),"",IF(D87="","",D87*10)),"")</f>
        <v/>
      </c>
      <c r="F87" s="189">
        <f>IFERROR(IF(NOT(UPPER(B79)="Y"),"",IF(OR(B87="",E87="",E87=0),"",B87/E87)),"")</f>
        <v/>
      </c>
      <c r="G87" s="452">
        <f>IFERROR(IF(NOT(UPPER(B79)="Y"),"",IF(F87="","",ROUNDUP(F87,0))),"")</f>
        <v/>
      </c>
    </row>
    <row r="88" ht="20" customHeight="1" s="140">
      <c r="A88" s="145">
        <f>IFERROR(IF(A44="","",A44),"")</f>
        <v/>
      </c>
      <c r="B88" s="187">
        <f>IFERROR(IF(B44="","",B44),"")</f>
        <v/>
      </c>
      <c r="C88" s="170" t="n"/>
      <c r="D88" s="188">
        <f>IFERROR(IF(NOT(UPPER(B79)="Y"),"",IF(C88="","",ROUNDDOWN(48/C88,0))),"")</f>
        <v/>
      </c>
      <c r="E88" s="188">
        <f>IFERROR(IF(NOT(UPPER(B79)="Y"),"",IF(D88="","",D88*10)),"")</f>
        <v/>
      </c>
      <c r="F88" s="189">
        <f>IFERROR(IF(NOT(UPPER(B79)="Y"),"",IF(OR(B88="",E88="",E88=0),"",B88/E88)),"")</f>
        <v/>
      </c>
      <c r="G88" s="452">
        <f>IFERROR(IF(NOT(UPPER(B79)="Y"),"",IF(F88="","",ROUNDUP(F88,0))),"")</f>
        <v/>
      </c>
    </row>
    <row r="89" ht="20" customHeight="1" s="140">
      <c r="A89" s="145" t="inlineStr">
        <is>
          <t>Perimeter adjustment</t>
        </is>
      </c>
      <c r="B89" s="171" t="n"/>
      <c r="C89" s="170" t="n"/>
      <c r="D89" s="188">
        <f>IFERROR(IF(NOT(UPPER(B79)="Y"),"",IF(C89="","",ROUNDDOWN(48/C89,0))),"")</f>
        <v/>
      </c>
      <c r="E89" s="188">
        <f>IFERROR(IF(NOT(UPPER(B79)="Y"),"",IF(D89="","",D89*10)),"")</f>
        <v/>
      </c>
      <c r="F89" s="189">
        <f>IFERROR(IF(NOT(UPPER(B79)="Y"),"",IF(OR(B89="",E89="",E89=0),"",B89/E89)),"")</f>
        <v/>
      </c>
      <c r="G89" s="188">
        <f>IFERROR(IF(NOT(UPPER(B79)="Y"),"",IF(F89="","",ROUNDUP(F89,0))),"")</f>
        <v/>
      </c>
      <c r="J89" s="447" t="inlineStr">
        <is>
          <t>the metal perimeter from the takeoff, less what the rows above already cover</t>
        </is>
      </c>
    </row>
    <row r="90" ht="20" customHeight="1" s="140">
      <c r="A90" s="144" t="inlineStr">
        <is>
          <t>TOTAL</t>
        </is>
      </c>
      <c r="B90" s="179">
        <f>IFERROR(IF(COUNT(C82:C89)=0,"",SUMIF(C82:C89,"&lt;&gt;",B82:B89)),"")</f>
        <v/>
      </c>
      <c r="G90" s="190">
        <f>IFERROR(IF(OR(UPPER(B79)&lt;&gt;"Y",COUNT(G82:G89)=0),"",SUM(G82:G89)),"")</f>
        <v/>
      </c>
      <c r="J90" s="447" t="inlineStr">
        <is>
          <t>LF counts only facets with a stretch-out. Everything to the right blanks out when this piece is prefab.</t>
        </is>
      </c>
    </row>
    <row r="91" ht="8" customHeight="1" s="140">
      <c r="A91" s="139" t="n"/>
    </row>
    <row r="92" ht="32" customHeight="1" s="140">
      <c r="A92" s="437" t="inlineStr">
        <is>
          <t>E4 · DOWNSPOUTS &amp; GUTTERS   —   straight from the takeoff, one line each</t>
        </is>
      </c>
    </row>
    <row r="93" ht="20" customHeight="1" s="140">
      <c r="A93" s="165" t="inlineStr">
        <is>
          <t>Piece</t>
        </is>
      </c>
      <c r="B93" s="165" t="inlineStr">
        <is>
          <t>LF</t>
        </is>
      </c>
      <c r="C93" s="165" t="inlineStr">
        <is>
          <t>Stretch-out (in)</t>
        </is>
      </c>
      <c r="D93" s="165" t="inlineStr">
        <is>
          <t>Strips</t>
        </is>
      </c>
      <c r="E93" s="165" t="inlineStr">
        <is>
          <t>Ft / sheet</t>
        </is>
      </c>
      <c r="F93" s="165" t="inlineStr">
        <is>
          <t>RAW sheets</t>
        </is>
      </c>
      <c r="G93" s="165" t="inlineStr">
        <is>
          <t>Sheets</t>
        </is>
      </c>
      <c r="H93" s="165" t="inlineStr">
        <is>
          <t>Fabricate?</t>
        </is>
      </c>
      <c r="I93" s="165" t="inlineStr">
        <is>
          <t>If N — who supplies</t>
        </is>
      </c>
      <c r="J93" s="165" t="inlineStr">
        <is>
          <t>Note</t>
        </is>
      </c>
    </row>
    <row r="94" ht="20" customHeight="1" s="140">
      <c r="A94" s="145" t="inlineStr">
        <is>
          <t>Downspouts</t>
        </is>
      </c>
      <c r="B94" s="171" t="n"/>
      <c r="C94" s="171" t="n"/>
      <c r="D94" s="188">
        <f>IFERROR(IF(UPPER(H94)&lt;&gt;"Y","",IF(C94="","",ROUNDDOWN(48/C94,0))),"")</f>
        <v/>
      </c>
      <c r="E94" s="188">
        <f>IFERROR(IF(UPPER(H94)&lt;&gt;"Y","",IF(D94="","",D94*10)),"")</f>
        <v/>
      </c>
      <c r="F94" s="189">
        <f>IFERROR(IF(UPPER(H94)&lt;&gt;"Y","",IF(OR(B94="",E94="",E94=0),"",B94/E94)),"")</f>
        <v/>
      </c>
      <c r="G94" s="188">
        <f>IFERROR(IF(OR(F94="",UPPER(H94)&lt;&gt;"Y"),"",ROUNDUP(F94,0)),"")</f>
        <v/>
      </c>
      <c r="H94" s="168" t="inlineStr">
        <is>
          <t>Y</t>
        </is>
      </c>
      <c r="J94" s="167" t="inlineStr">
        <is>
          <t>DEFAULTS TO Y — SMS fabricates.</t>
        </is>
      </c>
    </row>
    <row r="95" ht="20" customHeight="1" s="140">
      <c r="A95" s="145" t="inlineStr">
        <is>
          <t>Gutters</t>
        </is>
      </c>
      <c r="B95" s="171" t="n"/>
      <c r="C95" s="171" t="n"/>
      <c r="D95" s="188">
        <f>IFERROR(IF(UPPER(H95)&lt;&gt;"Y","",IF(C95="","",ROUNDDOWN(48/C95,0))),"")</f>
        <v/>
      </c>
      <c r="E95" s="188">
        <f>IFERROR(IF(UPPER(H95)&lt;&gt;"Y","",IF(D95="","",D95*10)),"")</f>
        <v/>
      </c>
      <c r="F95" s="189">
        <f>IFERROR(IF(UPPER(H95)&lt;&gt;"Y","",IF(OR(B95="",E95="",E95=0),"",B95/E95)),"")</f>
        <v/>
      </c>
      <c r="G95" s="188">
        <f>IFERROR(IF(OR(F95="",UPPER(H95)&lt;&gt;"Y"),"",ROUNDUP(F95,0)),"")</f>
        <v/>
      </c>
      <c r="H95" s="168" t="inlineStr">
        <is>
          <t>Y</t>
        </is>
      </c>
      <c r="J95" s="139" t="n"/>
    </row>
    <row r="96" ht="20" customHeight="1" s="140">
      <c r="J96" s="139" t="n"/>
    </row>
    <row r="97" ht="22" customHeight="1" s="140">
      <c r="A97" s="191" t="inlineStr">
        <is>
          <t>TOTAL SHEETS TO FABRICATE</t>
        </is>
      </c>
      <c r="B97" s="192" t="n"/>
      <c r="C97" s="192" t="n"/>
      <c r="D97" s="192" t="n"/>
      <c r="E97" s="192" t="n"/>
      <c r="F97" s="192" t="n"/>
      <c r="G97" s="453">
        <f>IFERROR(IF((N(G62)+N(G76)+N(G90)+N(G94)+N(G95))=0,"",(N(G62)+N(G76)+N(G90)+N(G94)+N(G95))),"")</f>
        <v/>
      </c>
      <c r="H97" s="192" t="n"/>
      <c r="I97" s="192" t="n"/>
      <c r="J97" s="192" t="n"/>
    </row>
    <row r="98" ht="8" customHeight="1" s="140">
      <c r="A98" s="139" t="n"/>
    </row>
    <row r="99" ht="22" customHeight="1" s="140">
      <c r="A99" s="180" t="inlineStr">
        <is>
          <t>E5 · CLEATS   —   all of them, in one place</t>
        </is>
      </c>
    </row>
    <row r="100" ht="32" customHeight="1" s="140">
      <c r="A100" s="433" t="inlineStr">
        <is>
          <t>"A cleat is its own metal, its own stretch-out, its own sheets — and we fabricate cleats in-house, same as the metal. COPING ALWAYS GETS ONE — 100% of the time — and its cleat runs the same stretch-out as the coping itself. GRAVEL STOP: ask every job, Y or N. COUNTER FLASHING: never gets one."</t>
        </is>
      </c>
    </row>
    <row r="101" ht="20" customHeight="1" s="140">
      <c r="A101" s="165" t="inlineStr">
        <is>
          <t>Piece</t>
        </is>
      </c>
      <c r="B101" s="165" t="inlineStr">
        <is>
          <t>LF</t>
        </is>
      </c>
      <c r="C101" s="165" t="inlineStr">
        <is>
          <t>Cleat?</t>
        </is>
      </c>
      <c r="D101" s="165" t="inlineStr">
        <is>
          <t>Face (in)</t>
        </is>
      </c>
      <c r="E101" s="165" t="inlineStr">
        <is>
          <t>Cleat stretch-out (in)</t>
        </is>
      </c>
      <c r="F101" s="165" t="inlineStr">
        <is>
          <t>Ft / sheet</t>
        </is>
      </c>
      <c r="G101" s="165" t="inlineStr">
        <is>
          <t>Sheets</t>
        </is>
      </c>
      <c r="J101" s="165" t="inlineStr">
        <is>
          <t>Note</t>
        </is>
      </c>
    </row>
    <row r="102" ht="20" customHeight="1" s="140">
      <c r="A102" s="145" t="inlineStr">
        <is>
          <t>Coping cleat</t>
        </is>
      </c>
      <c r="B102" s="178">
        <f>IFERROR(B62,"")</f>
        <v/>
      </c>
      <c r="C102" s="169" t="inlineStr">
        <is>
          <t>Y</t>
        </is>
      </c>
      <c r="D102" s="170" t="n"/>
      <c r="E102" s="194">
        <f>IFERROR(IF(MAX(C54:C61)=0,"",MAX(C54:C61)),"")</f>
        <v/>
      </c>
      <c r="F102" s="188">
        <f>IFERROR(IF(E102="","",ROUNDDOWN(48/E102,0)*10),"")</f>
        <v/>
      </c>
      <c r="G102" s="188">
        <f>IFERROR(IF(UPPER(B51)&lt;&gt;"Y","",IF(OR(UPPER(C102)&lt;&gt;"Y",F102="",F102=0),"",ROUNDUP(B102/F102,0))),"")</f>
        <v/>
      </c>
      <c r="H102" s="195">
        <f>IFERROR(IF(UPPER(B51)&lt;&gt;"Y","n/a — that piece is not fabricated here",""),"")</f>
        <v/>
      </c>
      <c r="J102" s="447" t="inlineStr">
        <is>
          <t>LAW — always, and the cleat runs the SAME stretch-out as the coping.</t>
        </is>
      </c>
    </row>
    <row r="103" ht="20" customHeight="1" s="140">
      <c r="A103" s="145" t="inlineStr">
        <is>
          <t>Gravel stop cleat</t>
        </is>
      </c>
      <c r="B103" s="178">
        <f>IFERROR(B76,"")</f>
        <v/>
      </c>
      <c r="C103" s="168" t="inlineStr">
        <is>
          <t>Y</t>
        </is>
      </c>
      <c r="D103" s="170" t="n"/>
      <c r="E103" s="170" t="n"/>
      <c r="F103" s="188">
        <f>IFERROR(IF(E103="","",ROUNDDOWN(48/E103,0)*10),"")</f>
        <v/>
      </c>
      <c r="G103" s="188">
        <f>IFERROR(IF(UPPER(B65)&lt;&gt;"Y","",IF(OR(UPPER(C103)&lt;&gt;"Y",F103="",F103=0),"",ROUNDUP(B103/F103,0))),"")</f>
        <v/>
      </c>
      <c r="H103" s="156">
        <f>IFERROR(IF(UPPER(B65)&lt;&gt;"Y","n/a — that piece is not fabricated here",""),"")</f>
        <v/>
      </c>
      <c r="I103" s="156" t="inlineStr">
        <is>
          <t>Gravel stop gets a cleat on this job — 9.6 in stretch-out. Houston: the gravel stop face is 12 in, which is not big in real life.</t>
        </is>
      </c>
      <c r="J103" s="447" t="inlineStr">
        <is>
          <t>needs a cleat at a face over 3½″ of face. Blanks out if the piece is prefab.</t>
        </is>
      </c>
    </row>
    <row r="104" ht="8" customHeight="1" s="140">
      <c r="A104" s="348" t="n"/>
      <c r="B104" s="348" t="n"/>
      <c r="C104" s="348" t="n"/>
      <c r="D104" s="348" t="n"/>
      <c r="E104" s="348" t="n"/>
      <c r="F104" s="348" t="n"/>
      <c r="G104" s="348" t="n"/>
      <c r="H104" s="348" t="n"/>
      <c r="I104" s="348" t="n"/>
      <c r="J104" s="348" t="n"/>
      <c r="K104" s="348" t="n"/>
      <c r="L104" s="348" t="n"/>
      <c r="M104" s="348" t="n"/>
    </row>
    <row r="105" ht="22" customHeight="1" s="140">
      <c r="A105" s="191" t="inlineStr">
        <is>
          <t>TOTAL CLEAT SHEETS</t>
        </is>
      </c>
      <c r="B105" s="192" t="n"/>
      <c r="C105" s="192" t="n"/>
      <c r="D105" s="192" t="n"/>
      <c r="E105" s="192" t="n"/>
      <c r="F105" s="192" t="n"/>
      <c r="G105" s="453">
        <f>IFERROR(IF(COUNT(G102:G103)=0,"",SUMPRODUCT(N(G102:G103))),"")</f>
        <v/>
      </c>
      <c r="H105" s="192" t="n"/>
      <c r="I105" s="192" t="n"/>
      <c r="J105" s="192" t="n"/>
    </row>
    <row r="106" ht="22" customHeight="1" s="140">
      <c r="A106" s="191" t="inlineStr">
        <is>
          <t>TOTAL SHEETS TO FABRICATE  (metal + cleats)</t>
        </is>
      </c>
      <c r="B106" s="192" t="n"/>
      <c r="C106" s="192" t="n"/>
      <c r="D106" s="192" t="n"/>
      <c r="E106" s="192" t="n"/>
      <c r="F106" s="192" t="n"/>
      <c r="G106" s="453">
        <f>IFERROR(IF((N(G62)+N(G76)+N(G90)+N(G94)+N(G95)+N(G105))=0,"",(N(G62)+N(G76)+N(G90)+N(G94)+N(G95)+N(G105))),"")</f>
        <v/>
      </c>
      <c r="H106" s="192" t="n"/>
      <c r="I106" s="192" t="n"/>
      <c r="J106" s="192" t="n"/>
    </row>
    <row r="107" ht="8" customHeight="1" s="140">
      <c r="A107" s="139" t="n"/>
    </row>
    <row r="108" ht="22" customHeight="1" s="140">
      <c r="A108" s="143" t="inlineStr">
        <is>
          <t>F · CHECKS &amp; BALANCES</t>
        </is>
      </c>
    </row>
    <row r="109" ht="32" customHeight="1" s="140">
      <c r="A109" s="433" t="inlineStr">
        <is>
          <t>"Every check here was stated by Adam. None are invented. Blank rows are for checks he adds later — do not fill them."</t>
        </is>
      </c>
    </row>
    <row r="110" ht="20" customHeight="1" s="140">
      <c r="A110" s="165" t="inlineStr">
        <is>
          <t>Check</t>
        </is>
      </c>
      <c r="B110" s="165" t="inlineStr">
        <is>
          <t>This sheet</t>
        </is>
      </c>
      <c r="C110" s="165" t="inlineStr">
        <is>
          <t>Takeoff app</t>
        </is>
      </c>
      <c r="D110" s="165" t="inlineStr">
        <is>
          <t>Difference</t>
        </is>
      </c>
      <c r="E110" s="165" t="inlineStr">
        <is>
          <t>%</t>
        </is>
      </c>
      <c r="F110" s="165" t="inlineStr">
        <is>
          <t>Tolerance %</t>
        </is>
      </c>
      <c r="G110" s="165" t="inlineStr">
        <is>
          <t>Status</t>
        </is>
      </c>
      <c r="J110" s="165" t="inlineStr">
        <is>
          <t>Note</t>
        </is>
      </c>
    </row>
    <row r="111" ht="20" customHeight="1" s="140">
      <c r="A111" s="145" t="inlineStr">
        <is>
          <t>1 · Every wall facet has a termination</t>
        </is>
      </c>
      <c r="B111" s="188">
        <f>IFERROR(SUMPRODUCT((B38:B45&lt;&gt;"")*(C54:C61="")*(C68:C75="")*(C82:C89="")),"")</f>
        <v/>
      </c>
      <c r="G111" s="186">
        <f>IFERROR(IF(B111=0,"OK","CHECK"),"")</f>
        <v/>
      </c>
      <c r="J111" s="447" t="inlineStr">
        <is>
          <t>a facet with a length but no stretch-out in coping, gravel stop OR counter flashing has no termination assigned. Count must be 0.</t>
        </is>
      </c>
    </row>
    <row r="112" ht="20" customHeight="1" s="140">
      <c r="A112" s="145" t="inlineStr">
        <is>
          <t>2 · Metal perimeter vs takeoff perimeter total</t>
        </is>
      </c>
      <c r="B112" s="178">
        <f>IFERROR(I46,"")</f>
        <v/>
      </c>
      <c r="C112" s="171" t="n"/>
      <c r="D112" s="200">
        <f>IFERROR(IF(OR(B112="",C112=""),"",B112-C112),"")</f>
        <v/>
      </c>
      <c r="E112" s="201">
        <f>IFERROR(IF(OR(C112="",C112=0),"",(B112-C112)/C112),"")</f>
        <v/>
      </c>
      <c r="F112" s="202" t="n"/>
      <c r="G112" s="169">
        <f>IFERROR(IF(OR(E112="",F112=""),"set tolerance",IF(ABS(E112)&lt;=F112,"OK","CHECK")),"")</f>
        <v/>
      </c>
      <c r="J112" s="447" t="inlineStr">
        <is>
          <t>uses only facets marked IN PERIMETER = Y. Running high on prefab metal is deliberate — it just has to land inside tolerance.</t>
        </is>
      </c>
    </row>
    <row r="113" ht="8" customHeight="1" s="140">
      <c r="A113" s="348" t="n"/>
      <c r="B113" s="348" t="n"/>
      <c r="C113" s="348" t="n"/>
      <c r="D113" s="348" t="n"/>
      <c r="E113" s="348" t="n"/>
      <c r="F113" s="348" t="n"/>
      <c r="G113" s="348" t="n"/>
      <c r="H113" s="348" t="n"/>
      <c r="I113" s="348" t="n"/>
      <c r="J113" s="348" t="n"/>
      <c r="K113" s="348" t="n"/>
      <c r="L113" s="348" t="n"/>
      <c r="M113" s="348" t="n"/>
    </row>
    <row r="114" ht="8" customHeight="1" s="140">
      <c r="A114" s="348" t="n"/>
      <c r="B114" s="348" t="n"/>
      <c r="C114" s="348" t="n"/>
      <c r="D114" s="348" t="n"/>
      <c r="E114" s="348" t="n"/>
      <c r="F114" s="348" t="n"/>
      <c r="G114" s="348" t="n"/>
      <c r="H114" s="348" t="n"/>
      <c r="I114" s="348" t="n"/>
      <c r="J114" s="348" t="n"/>
      <c r="K114" s="348" t="n"/>
      <c r="L114" s="348" t="n"/>
      <c r="M114" s="348" t="n"/>
    </row>
    <row r="115" ht="8" customHeight="1" s="140">
      <c r="A115" s="348" t="n"/>
      <c r="B115" s="348" t="n"/>
      <c r="C115" s="348" t="n"/>
      <c r="D115" s="348" t="n"/>
      <c r="E115" s="348" t="n"/>
      <c r="F115" s="348" t="n"/>
      <c r="G115" s="348" t="n"/>
      <c r="H115" s="348" t="n"/>
      <c r="I115" s="348" t="n"/>
      <c r="J115" s="348" t="n"/>
      <c r="K115" s="348" t="n"/>
      <c r="L115" s="348" t="n"/>
      <c r="M115" s="348" t="n"/>
    </row>
    <row r="116" ht="8" customHeight="1" s="140">
      <c r="A116" s="145" t="n"/>
    </row>
    <row r="117" ht="8" customHeight="1" s="140">
      <c r="A117" s="348" t="n"/>
      <c r="B117" s="348" t="n"/>
      <c r="C117" s="348" t="n"/>
      <c r="D117" s="348" t="n"/>
      <c r="E117" s="348" t="n"/>
      <c r="F117" s="348" t="n"/>
      <c r="G117" s="348" t="n"/>
      <c r="H117" s="348" t="n"/>
      <c r="I117" s="348" t="n"/>
      <c r="J117" s="348" t="n"/>
      <c r="K117" s="348" t="n"/>
      <c r="L117" s="348" t="n"/>
      <c r="M117" s="348" t="n"/>
    </row>
    <row r="118" ht="8" customHeight="1" s="140">
      <c r="A118" s="139" t="n"/>
    </row>
    <row r="119" ht="32" customHeight="1" s="140">
      <c r="A119" s="434" t="inlineStr">
        <is>
          <t>G · MEMBRANE LAYOUT   —   5 ft sheets around the perimeter, 10 ft sheets in the middle</t>
        </is>
      </c>
    </row>
    <row r="120" ht="32" customHeight="1" s="140">
      <c r="A120" s="435" t="inlineStr">
        <is>
          <t>THE 100-SQUARE RULE: under 100 squares the whole roof runs 5 ft sheets — no split, do not bother. Over 100 squares you get the choice: 5 ft around the outside where all the curb and edge work is, 10 ft through the middle. WALLS ARE NOT IN THIS — walls are counted on their own and always fastened every 5 ft.</t>
        </is>
      </c>
    </row>
    <row r="121" ht="22" customHeight="1" s="140">
      <c r="A121" s="203" t="inlineStr">
        <is>
          <t>This roof</t>
        </is>
      </c>
      <c r="B121" s="204">
        <f>IFERROR(IF(B20="","",ROUNDUP(B20/100,0)),"")</f>
        <v/>
      </c>
      <c r="C121" s="205" t="inlineStr">
        <is>
          <t>squares</t>
        </is>
      </c>
      <c r="D121" s="206" t="n"/>
      <c r="E121" s="206" t="n"/>
      <c r="F121" s="206" t="n"/>
      <c r="G121" s="454">
        <f>IF(B20="","fill the field area on section B first",IF(B20/100&lt;100,"UNDER 100 SQUARES — run 5 ft sheets over the whole roof. Ignore the split below; put the whole field area on the 5 ft line.","OVER 100 SQUARES — the split below is on the table. 5 ft around the perimeter band, 10 ft inside it."))</f>
        <v/>
      </c>
    </row>
    <row r="122" ht="20" customHeight="1" s="140">
      <c r="A122" s="208" t="inlineStr">
        <is>
          <t>Gravel stop LF  (the perimeter run)</t>
        </is>
      </c>
      <c r="B122" s="172" t="n"/>
      <c r="C122" s="157" t="inlineStr">
        <is>
          <t>LF</t>
        </is>
      </c>
      <c r="G122" s="445" t="inlineStr">
        <is>
          <t>the same number as the gravel stop. It is the distance around the outside of the roof.</t>
        </is>
      </c>
    </row>
    <row r="123" ht="20" customHeight="1" s="140">
      <c r="A123" s="208" t="inlineStr">
        <is>
          <t>Perimeter band width</t>
        </is>
      </c>
      <c r="B123" s="517" t="n"/>
      <c r="C123" s="157" t="inlineStr">
        <is>
          <t>ft</t>
        </is>
      </c>
      <c r="G123" s="445" t="inlineStr">
        <is>
          <t>VARIABLE — how far in from the edge the 5 ft sheets run on THIS roof. Nothing below prices until it is answered.</t>
        </is>
      </c>
      <c r="J123" s="139" t="n"/>
    </row>
    <row r="124" ht="20" customHeight="1" s="140">
      <c r="A124" s="154" t="inlineStr">
        <is>
          <t>Perimeter area</t>
        </is>
      </c>
      <c r="B124" s="209">
        <f>IFERROR(IF(OR(B122="",B123=""),"",B122*B123),"")</f>
        <v/>
      </c>
      <c r="C124" s="139" t="inlineStr">
        <is>
          <t>sf</t>
        </is>
      </c>
      <c r="G124" s="156" t="inlineStr">
        <is>
          <t>perimeter run x band width</t>
        </is>
      </c>
    </row>
    <row r="125" ht="20" customHeight="1" s="140">
      <c r="A125" s="154" t="inlineStr">
        <is>
          <t>Field area  (from B · ROOF AREA)</t>
        </is>
      </c>
      <c r="B125" s="210">
        <f>IFERROR(B20,"")</f>
        <v/>
      </c>
      <c r="C125" s="139" t="inlineStr">
        <is>
          <t>sf</t>
        </is>
      </c>
    </row>
    <row r="126" ht="20" customHeight="1" s="140">
      <c r="A126" s="154" t="inlineStr">
        <is>
          <t>Interior area</t>
        </is>
      </c>
      <c r="B126" s="209">
        <f>IFERROR(IF(OR(B124="",B125=""),"",MAX(0,B125-B124)),"")</f>
        <v/>
      </c>
      <c r="C126" s="139" t="inlineStr">
        <is>
          <t>sf</t>
        </is>
      </c>
      <c r="G126" s="156" t="inlineStr">
        <is>
          <t>whole roof less the perimeter band</t>
        </is>
      </c>
    </row>
    <row r="127" ht="8" customHeight="1" s="140">
      <c r="A127" s="348" t="n"/>
      <c r="B127" s="348" t="n"/>
      <c r="C127" s="348" t="n"/>
      <c r="D127" s="348" t="n"/>
      <c r="E127" s="348" t="n"/>
      <c r="F127" s="348" t="n"/>
      <c r="G127" s="348" t="n"/>
      <c r="H127" s="348" t="n"/>
      <c r="I127" s="348" t="n"/>
      <c r="J127" s="348" t="n"/>
      <c r="K127" s="348" t="n"/>
      <c r="L127" s="348" t="n"/>
      <c r="M127" s="348" t="n"/>
    </row>
    <row r="128" ht="20" customHeight="1" s="140">
      <c r="A128" s="269" t="inlineStr">
        <is>
          <t>Perimeter squares</t>
        </is>
      </c>
      <c r="B128" s="270">
        <f>IFERROR(IF(B124="","",ROUNDUP(B124/100,0)),"")</f>
        <v/>
      </c>
      <c r="C128" s="271" t="inlineStr">
        <is>
          <t>sq</t>
        </is>
      </c>
      <c r="G128" s="449" t="inlineStr">
        <is>
          <t>perimeter area ÷ 100, rounded up. This is what the 5 ft membrane line buys against.</t>
        </is>
      </c>
    </row>
    <row r="129" ht="20" customHeight="1" s="140">
      <c r="A129" s="269" t="inlineStr">
        <is>
          <t>Interior squares</t>
        </is>
      </c>
      <c r="B129" s="273">
        <f>IFERROR(IF(B126="","",ROUNDUP(B126/100,0)),"")</f>
        <v/>
      </c>
      <c r="C129" s="271" t="inlineStr">
        <is>
          <t>sq</t>
        </is>
      </c>
      <c r="G129" s="449" t="inlineStr">
        <is>
          <t>interior area ÷ 100, rounded up. This is what the 10 ft membrane line buys against.</t>
        </is>
      </c>
    </row>
    <row r="130" ht="8" customHeight="1" s="140">
      <c r="A130" s="348" t="n"/>
      <c r="B130" s="348" t="n"/>
      <c r="C130" s="348" t="n"/>
      <c r="D130" s="348" t="n"/>
      <c r="E130" s="348" t="n"/>
      <c r="F130" s="348" t="n"/>
      <c r="G130" s="348" t="n"/>
      <c r="H130" s="348" t="n"/>
      <c r="I130" s="348" t="n"/>
      <c r="J130" s="348" t="n"/>
      <c r="K130" s="348" t="n"/>
      <c r="L130" s="348" t="n"/>
      <c r="M130" s="348" t="n"/>
    </row>
    <row r="131" ht="32" customHeight="1" s="140">
      <c r="A131" s="438" t="inlineStr">
        <is>
          <t>Rolls are figured on the Material Takeoff page, section 3 — not here.</t>
        </is>
      </c>
    </row>
    <row r="132" ht="8" customHeight="1" s="140">
      <c r="A132" s="348" t="n"/>
      <c r="B132" s="348" t="n"/>
      <c r="C132" s="348" t="n"/>
      <c r="D132" s="348" t="n"/>
      <c r="E132" s="348" t="n"/>
      <c r="F132" s="348" t="n"/>
      <c r="G132" s="348" t="n"/>
      <c r="H132" s="348" t="n"/>
      <c r="I132" s="348" t="n"/>
      <c r="J132" s="348" t="n"/>
      <c r="K132" s="348" t="n"/>
      <c r="L132" s="348" t="n"/>
      <c r="M132" s="348" t="n"/>
    </row>
  </sheetData>
  <mergeCells count="28">
    <mergeCell ref="A47:J47"/>
    <mergeCell ref="A116:J116"/>
    <mergeCell ref="C50:E50"/>
    <mergeCell ref="A23:J23"/>
    <mergeCell ref="A17:J17"/>
    <mergeCell ref="A91:J91"/>
    <mergeCell ref="A120:L120"/>
    <mergeCell ref="A63:J63"/>
    <mergeCell ref="A2:L2"/>
    <mergeCell ref="A5:L5"/>
    <mergeCell ref="A77:J77"/>
    <mergeCell ref="A98:J98"/>
    <mergeCell ref="A35:L35"/>
    <mergeCell ref="A109:L109"/>
    <mergeCell ref="A100:L100"/>
    <mergeCell ref="A107:J107"/>
    <mergeCell ref="A131:L131"/>
    <mergeCell ref="A4:L4"/>
    <mergeCell ref="C78:E78"/>
    <mergeCell ref="A108:J108"/>
    <mergeCell ref="A48:L48"/>
    <mergeCell ref="A92:L92"/>
    <mergeCell ref="A99:J99"/>
    <mergeCell ref="A118:G118"/>
    <mergeCell ref="A49:L49"/>
    <mergeCell ref="A1:L1"/>
    <mergeCell ref="C64:E64"/>
    <mergeCell ref="A119:L119"/>
  </mergeCells>
  <conditionalFormatting sqref="C50:E50">
    <cfRule type="expression" rank="0" priority="2" equalAverage="0" aboveAverage="0" dxfId="0" text="" percent="0" bottom="0">
      <formula>UPPER(B50)="Y"</formula>
    </cfRule>
  </conditionalFormatting>
  <conditionalFormatting sqref="A51:J61">
    <cfRule type="expression" rank="0" priority="3" equalAverage="0" aboveAverage="0" dxfId="0" text="" percent="0" bottom="0">
      <formula>UPPER($B$50)&lt;&gt;"Y"</formula>
    </cfRule>
  </conditionalFormatting>
  <conditionalFormatting sqref="C64:E64">
    <cfRule type="expression" rank="0" priority="4" equalAverage="0" aboveAverage="0" dxfId="0" text="" percent="0" bottom="0">
      <formula>UPPER(B64)="Y"</formula>
    </cfRule>
  </conditionalFormatting>
  <conditionalFormatting sqref="A65:J75">
    <cfRule type="expression" rank="0" priority="5" equalAverage="0" aboveAverage="0" dxfId="0" text="" percent="0" bottom="0">
      <formula>UPPER($B$64)&lt;&gt;"Y"</formula>
    </cfRule>
  </conditionalFormatting>
  <conditionalFormatting sqref="C78:E78">
    <cfRule type="expression" rank="0" priority="6" equalAverage="0" aboveAverage="0" dxfId="0" text="" percent="0" bottom="0">
      <formula>UPPER(B78)="Y"</formula>
    </cfRule>
  </conditionalFormatting>
  <conditionalFormatting sqref="A79:J89">
    <cfRule type="expression" rank="0" priority="7" equalAverage="0" aboveAverage="0" dxfId="0" text="" percent="0" bottom="0">
      <formula>UPPER($B$78)&lt;&gt;"Y"</formula>
    </cfRule>
  </conditionalFormatting>
  <conditionalFormatting sqref="A101:J101">
    <cfRule type="expression" rank="0" priority="8" equalAverage="0" aboveAverage="0" dxfId="0" text="" percent="0" bottom="0">
      <formula>UPPER(B50)&lt;&gt;"Y"</formula>
    </cfRule>
  </conditionalFormatting>
  <conditionalFormatting sqref="A102:J102">
    <cfRule type="expression" rank="0" priority="9" equalAverage="0" aboveAverage="0" dxfId="0" text="" percent="0" bottom="0">
      <formula>UPPER(B64)&lt;&gt;"Y"</formula>
    </cfRule>
  </conditionalFormatting>
  <conditionalFormatting sqref="A103:J103">
    <cfRule type="expression" rank="0" priority="10" equalAverage="0" aboveAverage="0" dxfId="0" text="" percent="0" bottom="0">
      <formula>UPPER(B78)&lt;&gt;"Y"</formula>
    </cfRule>
  </conditionalFormatting>
  <dataValidations count="11">
    <dataValidation sqref="B7" showDropDown="0" showInputMessage="0" showErrorMessage="0" allowBlank="1" type="list" errorStyle="stop" operator="between">
      <formula1>Lists!$A$5:$A$44</formula1>
      <formula2>0</formula2>
    </dataValidation>
    <dataValidation sqref="B8" showDropDown="0" showInputMessage="0" showErrorMessage="0" allowBlank="1" type="list" errorStyle="stop" operator="between">
      <formula1>Lists!$B$5:$B$44</formula1>
      <formula2>0</formula2>
    </dataValidation>
    <dataValidation sqref="B10" showDropDown="0" showInputMessage="0" showErrorMessage="0" allowBlank="1" type="list" errorStyle="stop" operator="between">
      <formula1>Lists!$C$5:$C$44</formula1>
      <formula2>0</formula2>
    </dataValidation>
    <dataValidation sqref="B11" showDropDown="0" showInputMessage="0" showErrorMessage="0" allowBlank="1" type="list" errorStyle="stop" operator="between">
      <formula1>Lists!$D$5:$D$44</formula1>
      <formula2>0</formula2>
    </dataValidation>
    <dataValidation sqref="B12" showDropDown="0" showInputMessage="0" showErrorMessage="0" allowBlank="1" type="list" errorStyle="stop" operator="between">
      <formula1>Lists!$E$5:$E$44</formula1>
      <formula2>0</formula2>
    </dataValidation>
    <dataValidation sqref="B14" showDropDown="0" showInputMessage="0" showErrorMessage="0" allowBlank="1" type="list" errorStyle="stop" operator="between">
      <formula1>Lists!$G$5:$G$44</formula1>
      <formula2>0</formula2>
    </dataValidation>
    <dataValidation sqref="B15" showDropDown="0" showInputMessage="0" showErrorMessage="0" allowBlank="1" type="list" errorStyle="stop" operator="between">
      <formula1>Lists!$H$5:$H$44</formula1>
      <formula2>0</formula2>
    </dataValidation>
    <dataValidation sqref="B16" showDropDown="0" showInputMessage="0" showErrorMessage="0" allowBlank="1" type="list" errorStyle="stop" operator="between">
      <formula1>Lists!$I$5:$I$44</formula1>
      <formula2>0</formula2>
    </dataValidation>
    <dataValidation sqref="B51 B65 B79 C102:C103 H94:H95" showDropDown="0" showInputMessage="0" showErrorMessage="0" allowBlank="1" type="list" errorStyle="stop" operator="between">
      <formula1>Lists!$J$5:$J$6</formula1>
      <formula2>0</formula2>
    </dataValidation>
    <dataValidation sqref="B13" showDropDown="0" showInputMessage="0" showErrorMessage="0" allowBlank="1" type="list" errorStyle="stop" operator="between">
      <formula1>Lists!$F$5:$F$44</formula1>
      <formula2>0</formula2>
    </dataValidation>
    <dataValidation sqref="K38:K45 M36" showDropDown="0" showInputMessage="0" showErrorMessage="0" allowBlank="1" type="list">
      <formula1>=Lists!$R$5:$R$44</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1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39" min="1" max="1"/>
    <col width="13" customWidth="1" style="139" min="2" max="2"/>
    <col width="11" customWidth="1" style="139" min="3" max="3"/>
    <col width="12" customWidth="1" style="139" min="4" max="5"/>
    <col width="14" customWidth="1" style="139" min="6" max="6"/>
  </cols>
  <sheetData>
    <row r="1" ht="22" customHeight="1" s="140">
      <c r="A1" s="141" t="inlineStr">
        <is>
          <t>MATERIAL ORDER  —  MECHANICALLY ATTACHED TPO</t>
        </is>
      </c>
    </row>
    <row r="2" ht="32" customHeight="1" s="140">
      <c r="A2" s="433" t="inlineStr">
        <is>
          <t>PAGE THREE. Every quantity reads live off the Material Takeoff page. RAW is the number before it rounds up. Prices are yours to set — nothing here is priced by me. The purchased block is what goes to the supplier.</t>
        </is>
      </c>
    </row>
    <row r="3" ht="8" customHeight="1" s="140">
      <c r="A3" s="348" t="n"/>
      <c r="B3" s="348" t="n"/>
      <c r="C3" s="348" t="n"/>
      <c r="D3" s="348" t="n"/>
      <c r="E3" s="348" t="n"/>
      <c r="F3" s="348" t="n"/>
      <c r="G3" s="348" t="n"/>
      <c r="H3" s="348" t="n"/>
      <c r="I3" s="348" t="n"/>
      <c r="J3" s="348" t="n"/>
      <c r="K3" s="348" t="n"/>
      <c r="L3" s="348" t="n"/>
      <c r="M3" s="348" t="n"/>
    </row>
    <row r="4" ht="20" customHeight="1" s="140">
      <c r="A4" s="275" t="inlineStr">
        <is>
          <t>PURCHASED  (send to supplier)</t>
        </is>
      </c>
    </row>
    <row r="5" ht="20" customHeight="1" s="140">
      <c r="A5" s="165" t="inlineStr">
        <is>
          <t>Item</t>
        </is>
      </c>
      <c r="B5" s="165" t="inlineStr">
        <is>
          <t>RAW  (before rounding)</t>
        </is>
      </c>
      <c r="C5" s="165" t="inlineStr">
        <is>
          <t>Qty</t>
        </is>
      </c>
      <c r="D5" s="165" t="inlineStr">
        <is>
          <t>Unit</t>
        </is>
      </c>
      <c r="E5" s="165" t="inlineStr">
        <is>
          <t>Unit $</t>
        </is>
      </c>
      <c r="F5" s="165" t="inlineStr">
        <is>
          <t>Line Total</t>
        </is>
      </c>
    </row>
    <row r="6" ht="20" customHeight="1" s="140">
      <c r="A6" s="274" t="inlineStr">
        <is>
          <t>TPO field membrane 10'</t>
        </is>
      </c>
      <c r="B6" s="189">
        <f>IFERROR(IF('Material Takeoff'!F28="","",'Material Takeoff'!F28),"")</f>
        <v/>
      </c>
      <c r="C6" s="212">
        <f>IFERROR(IF('Material Takeoff'!G28="","",'Material Takeoff'!G28),"")</f>
        <v/>
      </c>
      <c r="D6" s="169" t="inlineStr">
        <is>
          <t>roll</t>
        </is>
      </c>
      <c r="E6" s="329">
        <f>IF(OR(C6="NA",C6="",N(C6)=0),"",IFERROR(IF(VLOOKUP($A6,'Bid Products'!$A$4:$D$60,4,FALSE())="","",VLOOKUP($A6,'Bid Products'!$A$4:$D$60,4,FALSE())),""))</f>
        <v/>
      </c>
      <c r="F6" s="330">
        <f>IF(OR(C6="NA",C6="",E6=""),"",C6*E6)</f>
        <v/>
      </c>
    </row>
    <row r="7" ht="32" customHeight="1" s="140">
      <c r="A7" s="439">
        <f>"10 ft roll = 10 squares.  6 in. of it gets lapped over, so 5% is gone, plus "&amp;TEXT('Material Takeoff'!D28,"0%")&amp;" for cuts.   Interior "&amp;TEXT(N('Material Takeoff'!B28),"0")&amp;" sq  x "&amp;TEXT('Material Takeoff'!E28,"0.00")&amp;"  ÷ 10  =  "&amp;TEXT(N('Material Takeoff'!G28),"0")&amp;" rolls."</f>
        <v/>
      </c>
    </row>
    <row r="8" ht="20" customHeight="1" s="140">
      <c r="A8" s="274" t="inlineStr">
        <is>
          <t>TPO field membrane 5'</t>
        </is>
      </c>
      <c r="B8" s="189">
        <f>IFERROR(IF('Material Takeoff'!F29="","",'Material Takeoff'!F29),"")</f>
        <v/>
      </c>
      <c r="C8" s="212">
        <f>IFERROR(IF('Material Takeoff'!G29="","",'Material Takeoff'!G29),"")</f>
        <v/>
      </c>
      <c r="D8" s="169" t="inlineStr">
        <is>
          <t>roll</t>
        </is>
      </c>
      <c r="E8" s="329">
        <f>IF(OR(C8="NA",C8="",N(C8)=0),"",IFERROR(IF(VLOOKUP($A8,'Bid Products'!$A$4:$D$60,4,FALSE())="","",VLOOKUP($A8,'Bid Products'!$A$4:$D$60,4,FALSE())),""))</f>
        <v/>
      </c>
      <c r="F8" s="330">
        <f>IF(OR(C8="NA",C8="",E8=""),"",C8*E8)</f>
        <v/>
      </c>
    </row>
    <row r="9" ht="32" customHeight="1" s="140">
      <c r="A9" s="439">
        <f>"5 ft roll = 5 squares.  6 in. of it gets lapped over, so 10% is gone, plus "&amp;TEXT('Material Takeoff'!D29,"0%")&amp;" for cuts.   Perimeter "&amp;TEXT(N('Material Takeoff'!B29),"0")&amp;" sq  x "&amp;TEXT('Material Takeoff'!E29,"0.00")&amp;"  ÷ 5  =  "&amp;TEXT(N('Material Takeoff'!G29),"0")&amp;" rolls."</f>
        <v/>
      </c>
    </row>
    <row r="10" ht="20" customHeight="1" s="140">
      <c r="A10" s="274" t="inlineStr">
        <is>
          <t>TPO wall membrane 5'</t>
        </is>
      </c>
      <c r="B10" s="189">
        <f>IFERROR(IF('Material Takeoff'!F30="","",'Material Takeoff'!F30),"")</f>
        <v/>
      </c>
      <c r="C10" s="212">
        <f>IFERROR(IF('Material Takeoff'!G30="","",'Material Takeoff'!G30),"")</f>
        <v/>
      </c>
      <c r="D10" s="169" t="inlineStr">
        <is>
          <t>roll</t>
        </is>
      </c>
      <c r="E10" s="329">
        <f>IF(OR(C10="NA",C10="",N(C10)=0),"",IFERROR(IF(VLOOKUP("TPO wall membrane 5'",'Bid Products'!$A$4:$D$60,4,FALSE())="","",VLOOKUP("TPO wall membrane 5'",'Bid Products'!$A$4:$D$60,4,FALSE())),""))</f>
        <v/>
      </c>
      <c r="F10" s="455">
        <f>IF(OR(C10="NA",C10="",E10=""),"",C10*E10)</f>
        <v/>
      </c>
    </row>
    <row r="11" ht="32" customHeight="1" s="140">
      <c r="A11" s="439">
        <f>"Same 5 ft roll. Walls take "&amp;TEXT('Material Takeoff'!D30,"0%")&amp;" for cuts.   Walls "&amp;TEXT(N('Material Takeoff'!B30),"0")&amp;" sq  x "&amp;TEXT('Material Takeoff'!E30,"0.00")&amp;"  ÷ 5  =  "&amp;TEXT(N('Material Takeoff'!G30),"0")&amp;" rolls."</f>
        <v/>
      </c>
    </row>
    <row r="12" ht="20" customHeight="1" s="140">
      <c r="A12" s="274" t="inlineStr">
        <is>
          <t>Polyiso  —  field of the roof</t>
        </is>
      </c>
      <c r="B12" s="189">
        <f>IFERROR(IF('Material Takeoff'!F14="","",'Material Takeoff'!F14),"")</f>
        <v/>
      </c>
      <c r="C12" s="212">
        <f>IFERROR(IF('Material Takeoff'!G14="","",'Material Takeoff'!G14),"")</f>
        <v/>
      </c>
      <c r="D12" s="169" t="inlineStr">
        <is>
          <t>board</t>
        </is>
      </c>
      <c r="E12" s="329">
        <f>IF(OR(C12="NA",C12="",N(C12)=0),"",IFERROR(IF(VLOOKUP($A12,'Bid Products'!$A$4:$D$60,4,FALSE())="","",VLOOKUP($A12,'Bid Products'!$A$4:$D$60,4,FALSE())),""))</f>
        <v/>
      </c>
      <c r="F12" s="455">
        <f>IF(OR(C12="NA",C12="",E12=""),"",C12*E12)</f>
        <v/>
      </c>
    </row>
    <row r="13" ht="32" customHeight="1" s="140">
      <c r="A13" s="439">
        <f>"3 boards a square. Flat — no waste added.   "&amp;TEXT(N('Material Takeoff'!B14),"0")&amp;" sq  x 3  =  "&amp;TEXT(N('Material Takeoff'!G14),"0")&amp;" boards"</f>
        <v/>
      </c>
    </row>
    <row r="14" ht="8" customHeight="1" s="140">
      <c r="A14" s="275" t="n"/>
    </row>
    <row r="15" ht="20" customHeight="1" s="140">
      <c r="A15" s="274" t="inlineStr">
        <is>
          <t>Crickets  —  Units  ·  Q board</t>
        </is>
      </c>
      <c r="B15" s="189">
        <f>IFERROR(IF('Material Takeoff'!B22="","",'Material Takeoff'!B22),"")</f>
        <v/>
      </c>
      <c r="C15" s="212">
        <f>IFERROR(IF('Material Takeoff'!G22="","",'Material Takeoff'!G22),"")</f>
        <v/>
      </c>
      <c r="D15" s="169" t="inlineStr">
        <is>
          <t>board</t>
        </is>
      </c>
      <c r="E15" s="329">
        <f>IF(OR(C15="NA",C15="",N(C15)=0),"",IFERROR(IF(VLOOKUP($A15,'Bid Products'!$A$4:$D$60,4,FALSE())="","",VLOOKUP($A15,'Bid Products'!$A$4:$D$60,4,FALSE())),""))</f>
        <v/>
      </c>
      <c r="F15" s="455">
        <f>IF(OR(C15="NA",C15="",E15=""),"",C15*E15)</f>
        <v/>
      </c>
    </row>
    <row r="16" ht="32" customHeight="1" s="140">
      <c r="A16" s="439">
        <f>"52 unit curbs x 4 corners = "&amp;TEXT(N(Takeoff!F22)*4,"0")&amp;" corners. Check that against the TPO corners line below — the two have to agree.   Pull this line and the unit crickets come out of the quote."</f>
        <v/>
      </c>
    </row>
    <row r="17" ht="20" customHeight="1" s="140">
      <c r="A17" s="274" t="inlineStr">
        <is>
          <t>Crickets  —  Scuppers / Drains  ·  Q board</t>
        </is>
      </c>
      <c r="B17" s="189">
        <f>IFERROR(IF('Material Takeoff'!B23="","",'Material Takeoff'!B23),"")</f>
        <v/>
      </c>
      <c r="C17" s="212">
        <f>IFERROR(IF('Material Takeoff'!G23="","",'Material Takeoff'!G23),"")</f>
        <v/>
      </c>
      <c r="D17" s="169" t="inlineStr">
        <is>
          <t>board</t>
        </is>
      </c>
      <c r="E17" s="329">
        <f>IF(OR(C17="NA",C17="",N(C17)=0),"",IFERROR(IF(VLOOKUP($A17,'Bid Products'!$A$4:$D$60,4,FALSE())="","",VLOOKUP($A17,'Bid Products'!$A$4:$D$60,4,FALSE())),""))</f>
        <v/>
      </c>
      <c r="F17" s="455">
        <f>IF(OR(C17="NA",C17="",E17=""),"",C17*E17)</f>
        <v/>
      </c>
    </row>
    <row r="18" ht="20" customHeight="1" s="140">
      <c r="A18" s="274" t="inlineStr">
        <is>
          <t>Crickets  —  Scuppers / Drains  ·  2″ fill board  4 ft x 4 ft</t>
        </is>
      </c>
      <c r="B18" s="189">
        <f>IFERROR(IF('Material Takeoff'!D23="","",'Material Takeoff'!D23),"")</f>
        <v/>
      </c>
      <c r="C18" s="212">
        <f>IFERROR(IF('Material Takeoff'!D23="","",'Material Takeoff'!D23),"")</f>
        <v/>
      </c>
      <c r="D18" s="169" t="inlineStr">
        <is>
          <t>board</t>
        </is>
      </c>
      <c r="E18" s="329">
        <f>IF(OR(C18="NA",C18="",N(C18)=0),"",IFERROR(IF(VLOOKUP($A18,'Bid Products'!$A$4:$D$60,4,FALSE())="","",VLOOKUP($A18,'Bid Products'!$A$4:$D$60,4,FALSE())),""))</f>
        <v/>
      </c>
      <c r="F18" s="455">
        <f>IF(OR(C18="NA",C18="",E18=""),"",C18*E18)</f>
        <v/>
      </c>
    </row>
    <row r="19" ht="32" customHeight="1" s="140">
      <c r="A19" s="439">
        <f>"7 crickets that steer water to the scuppers and drains — "&amp;TEXT(N('Material Takeoff'!B23),"0")&amp;" Q board plus "&amp;TEXT(N('Material Takeoff'!D23),"0")&amp;" pieces of 2″ fill at 4 ft x 4 ft.   These have to be there."</f>
        <v/>
      </c>
    </row>
    <row r="20" ht="8" customHeight="1" s="140">
      <c r="A20" s="348" t="n"/>
      <c r="B20" s="348" t="n"/>
      <c r="C20" s="348" t="n"/>
      <c r="D20" s="348" t="n"/>
      <c r="E20" s="348" t="n"/>
      <c r="F20" s="348" t="n"/>
      <c r="G20" s="348" t="n"/>
      <c r="H20" s="348" t="n"/>
      <c r="I20" s="348" t="n"/>
      <c r="J20" s="348" t="n"/>
      <c r="K20" s="348" t="n"/>
      <c r="L20" s="348" t="n"/>
      <c r="M20" s="348" t="n"/>
    </row>
    <row r="21" ht="22" customHeight="1" s="140">
      <c r="A21" s="143" t="inlineStr">
        <is>
          <t>FASTENERS &amp; PLATES</t>
        </is>
      </c>
    </row>
    <row r="22" ht="20" customHeight="1" s="140">
      <c r="A22" s="165" t="inlineStr">
        <is>
          <t>Item</t>
        </is>
      </c>
      <c r="B22" s="165" t="inlineStr">
        <is>
          <t>RAW  (before rounding)</t>
        </is>
      </c>
      <c r="C22" s="165" t="inlineStr">
        <is>
          <t>Qty</t>
        </is>
      </c>
      <c r="D22" s="165" t="inlineStr">
        <is>
          <t>Unit</t>
        </is>
      </c>
      <c r="E22" s="165" t="inlineStr">
        <is>
          <t>Unit $</t>
        </is>
      </c>
      <c r="F22" s="165" t="inlineStr">
        <is>
          <t>Line Total</t>
        </is>
      </c>
    </row>
    <row r="23" ht="20" customHeight="1" s="140">
      <c r="A23" s="274" t="inlineStr">
        <is>
          <t>ISO plates</t>
        </is>
      </c>
      <c r="B23" s="189">
        <f>IFERROR(IF('Material Takeoff'!F41="","",'Material Takeoff'!F41),"")</f>
        <v/>
      </c>
      <c r="C23" s="212">
        <f>IFERROR(IF('Material Takeoff'!G41="","",'Material Takeoff'!G41),"")</f>
        <v/>
      </c>
      <c r="D23" s="169" t="inlineStr">
        <is>
          <t>box</t>
        </is>
      </c>
      <c r="E23" s="329">
        <f>IF(OR(C23="NA",C23="",N(C23)=0),"",IFERROR(IF(VLOOKUP("ISO plates",'Bid Products'!$A$4:$D$60,4,FALSE())="","",VLOOKUP("ISO plates",'Bid Products'!$A$4:$D$60,4,FALSE())),""))</f>
        <v/>
      </c>
      <c r="F23" s="455">
        <f>IF(OR(C23="NA",C23="",E23=""),"",C23*E23)</f>
        <v/>
      </c>
    </row>
    <row r="24" ht="20" customHeight="1" s="140">
      <c r="A24" s="274" t="inlineStr">
        <is>
          <t>Seam plates</t>
        </is>
      </c>
      <c r="B24" s="189">
        <f>IFERROR(IF('Material Takeoff'!F82="","",'Material Takeoff'!F82),"")</f>
        <v/>
      </c>
      <c r="C24" s="212">
        <f>IFERROR(IF('Material Takeoff'!G82="","",'Material Takeoff'!G82),"")</f>
        <v/>
      </c>
      <c r="D24" s="169" t="inlineStr">
        <is>
          <t>box</t>
        </is>
      </c>
      <c r="E24" s="329">
        <f>IF(OR(C24="NA",C24="",N(C24)=0),"",IFERROR(IF(VLOOKUP("Seam plates",'Bid Products'!$A$4:$D$60,4,FALSE())="","",VLOOKUP("Seam plates",'Bid Products'!$A$4:$D$60,4,FALSE())),""))</f>
        <v/>
      </c>
      <c r="F24" s="455">
        <f>IF(OR(C24="NA",C24="",E24=""),"",C24*E24)</f>
        <v/>
      </c>
    </row>
    <row r="25" ht="32" customHeight="1" s="140">
      <c r="A25" s="439">
        <f>"Rolls x 100, plus curb, boots x 4, pans x 4, wall rows and base flashing.   All of it x 1.1  =  "&amp;TEXT(N('Material Takeoff'!F82),"#,##0")&amp;" plates.   One plate, one buy."</f>
        <v/>
      </c>
    </row>
    <row r="26" ht="20" customHeight="1" s="140">
      <c r="A26" s="211" t="inlineStr">
        <is>
          <t>TOTAL FASTENERS</t>
        </is>
      </c>
      <c r="B26" s="189">
        <f>IFERROR(IF('Material Takeoff'!F91="","",'Material Takeoff'!F91),"")</f>
        <v/>
      </c>
      <c r="C26" s="212" t="n"/>
      <c r="D26" s="169" t="n"/>
      <c r="E26" s="337" t="n"/>
      <c r="F26" s="455">
        <f>IF(OR(C26="NA",C26="",E26=""),"",C26*E26)</f>
        <v/>
      </c>
    </row>
    <row r="27" ht="20" customHeight="1" s="140">
      <c r="A27" s="274" t="inlineStr">
        <is>
          <t>Insulation fasteners  #12</t>
        </is>
      </c>
      <c r="B27" s="189">
        <f>IFERROR(IF('Material Takeoff'!F87="","",'Material Takeoff'!F87),"")</f>
        <v/>
      </c>
      <c r="C27" s="212">
        <f>IFERROR(IF('Material Takeoff'!G87="","",'Material Takeoff'!G87),"")</f>
        <v/>
      </c>
      <c r="D27" s="169" t="inlineStr">
        <is>
          <t>box</t>
        </is>
      </c>
      <c r="E27" s="329">
        <f>IF(OR(C27="NA",C27="",N(C27)=0),"",IFERROR(IF(VLOOKUP("Insulation fasteners  #12",'Bid Products'!$A$4:$D$60,4,FALSE())="","",VLOOKUP("Insulation fasteners  #12",'Bid Products'!$A$4:$D$60,4,FALSE())),""))</f>
        <v/>
      </c>
      <c r="F27" s="455">
        <f>IF(OR(C27="NA",C27="",E27=""),"",C27*E27)</f>
        <v/>
      </c>
    </row>
    <row r="28" ht="32" customHeight="1" s="140">
      <c r="A28" s="439">
        <f>"One screw per ISO plate.   "&amp;TEXT(N('Material Takeoff'!B41),"#,##0")&amp;" boards x "&amp;TEXT(N(Takeoff!B14),"0")&amp;" plates a board = "&amp;TEXT(N('Material Takeoff'!F41),"#,##0")&amp;" screws  —  #"&amp;TEXT(N('Material Takeoff'!B36),"0")&amp;" x "&amp;TEXT(N('Material Takeoff'!B35),"0")&amp;" in."</f>
        <v/>
      </c>
    </row>
    <row r="29" ht="20" customHeight="1" s="140">
      <c r="A29" s="274" t="inlineStr">
        <is>
          <t>Seam fasteners  #15  —  5"</t>
        </is>
      </c>
      <c r="B29" s="189">
        <f>IFERROR(IF('Material Takeoff'!F88="","",'Material Takeoff'!F88),"")</f>
        <v/>
      </c>
      <c r="C29" s="212">
        <f>IFERROR(IF('Material Takeoff'!G88="","",'Material Takeoff'!G88),"")</f>
        <v/>
      </c>
      <c r="D29" s="169" t="inlineStr">
        <is>
          <t>box</t>
        </is>
      </c>
      <c r="E29" s="329">
        <f>IF(OR(C29="NA",C29="",N(C29)=0),"",IFERROR(IF(VLOOKUP("Seam fasteners  #15  —  5""",'Bid Products'!$A$4:$D$60,4,FALSE())="","",VLOOKUP("Seam fasteners  #15  —  5""",'Bid Products'!$A$4:$D$60,4,FALSE())),""))</f>
        <v/>
      </c>
      <c r="F29" s="455">
        <f>IF(OR(C29="NA",C29="",E29=""),"",C29*E29)</f>
        <v/>
      </c>
    </row>
    <row r="30" ht="32" customHeight="1" s="140">
      <c r="A30" s="439">
        <f>"One screw per seam plate.   "&amp;TEXT(IF(ISNUMBER(SEARCH("WOOD",UPPER(Takeoff!L38))),N('Material Takeoff'!F80),N('Material Takeoff'!F82)),"#,##0")&amp;" screws called for, less the "&amp;TEXT(N('Material Takeoff'!F89)+N('Material Takeoff'!F90),"#,##0")&amp;" that go long  =  "&amp;TEXT(N('Material Takeoff'!F88),"#,##0")&amp;" at 5 in."</f>
        <v/>
      </c>
    </row>
    <row r="31" ht="20" customHeight="1" s="140">
      <c r="A31" s="274" t="inlineStr">
        <is>
          <t>Seam fasteners  #15  —  7"</t>
        </is>
      </c>
      <c r="B31" s="189">
        <f>IFERROR(IF('Material Takeoff'!F89="","",'Material Takeoff'!F89),"")</f>
        <v/>
      </c>
      <c r="C31" s="212">
        <f>IFERROR(IF('Material Takeoff'!G89="","",'Material Takeoff'!G89),"")</f>
        <v/>
      </c>
      <c r="D31" s="169" t="inlineStr">
        <is>
          <t>box</t>
        </is>
      </c>
      <c r="E31" s="329">
        <f>IF(OR(C31="NA",C31="",N(C31)=0),"",IFERROR(IF(VLOOKUP("Seam fasteners  #15  —  7""",'Bid Products'!$A$4:$D$60,4,FALSE())="","",VLOOKUP("Seam fasteners  #15  —  7""",'Bid Products'!$A$4:$D$60,4,FALSE())),""))</f>
        <v/>
      </c>
      <c r="F31" s="455">
        <f>IF(OR(C31="NA",C31="",E31=""),"",C31*E31)</f>
        <v/>
      </c>
    </row>
    <row r="32" ht="32" customHeight="1" s="140">
      <c r="A32" s="439">
        <f>"For the crickets. This box came OUT of the 5 in. count, not on top of it — the crickets build the insulation up and a 5 in. screw stops short."</f>
        <v/>
      </c>
    </row>
    <row r="33" ht="20" customHeight="1" s="140">
      <c r="A33" s="274" t="inlineStr">
        <is>
          <t>Seam fasteners  #15  —  8"</t>
        </is>
      </c>
      <c r="B33" s="189">
        <f>IFERROR(IF('Material Takeoff'!F90="","",'Material Takeoff'!F90),"")</f>
        <v/>
      </c>
      <c r="C33" s="212">
        <f>IFERROR(IF('Material Takeoff'!G90="","",'Material Takeoff'!G90),"")</f>
        <v/>
      </c>
      <c r="D33" s="169" t="inlineStr">
        <is>
          <t>box</t>
        </is>
      </c>
      <c r="E33" s="329">
        <f>IF(OR(C33="NA",C33="",N(C33)=0),"",IFERROR(IF(VLOOKUP("Seam fasteners  #15  —  8""",'Bid Products'!$A$4:$D$60,4,FALSE())="","",VLOOKUP("Seam fasteners  #15  —  8""",'Bid Products'!$A$4:$D$60,4,FALSE())),""))</f>
        <v/>
      </c>
      <c r="F33" s="455">
        <f>IF(OR(C33="NA",C33="",E33=""),"",C33*E33)</f>
        <v/>
      </c>
    </row>
    <row r="34" ht="32" customHeight="1" s="140">
      <c r="A34" s="439">
        <f>"Same — out of the 5 in. count, for the deepest part of the crickets."</f>
        <v/>
      </c>
    </row>
    <row r="35" ht="8" customHeight="1" s="140">
      <c r="A35" s="275" t="n"/>
    </row>
    <row r="36" ht="22" customHeight="1" s="140">
      <c r="A36" s="143" t="inlineStr">
        <is>
          <t>ADHESIVES</t>
        </is>
      </c>
    </row>
    <row r="37" ht="20" customHeight="1" s="140">
      <c r="A37" s="165" t="inlineStr">
        <is>
          <t>Item</t>
        </is>
      </c>
      <c r="B37" s="165" t="inlineStr">
        <is>
          <t>RAW  (before rounding)</t>
        </is>
      </c>
      <c r="C37" s="165" t="inlineStr">
        <is>
          <t>Qty</t>
        </is>
      </c>
      <c r="D37" s="165" t="inlineStr">
        <is>
          <t>Unit</t>
        </is>
      </c>
      <c r="E37" s="165" t="inlineStr">
        <is>
          <t>Unit $</t>
        </is>
      </c>
      <c r="F37" s="165" t="inlineStr">
        <is>
          <t>Line Total</t>
        </is>
      </c>
    </row>
    <row r="38" ht="20" customHeight="1" s="140">
      <c r="A38" s="274" t="inlineStr">
        <is>
          <t>Bonding adhesive</t>
        </is>
      </c>
      <c r="B38" s="189">
        <f>IFERROR(IF('Material Takeoff'!F97="","",'Material Takeoff'!F97),"")</f>
        <v/>
      </c>
      <c r="C38" s="212">
        <f>IFERROR(IF('Material Takeoff'!G97="","",'Material Takeoff'!G97),"")</f>
        <v/>
      </c>
      <c r="D38" s="169" t="inlineStr">
        <is>
          <t>pail</t>
        </is>
      </c>
      <c r="E38" s="329">
        <f>IF(OR(C38="NA",C38="",N(C38)=0),"",IFERROR(IF(VLOOKUP("Bonding adhesive",'Bid Products'!$A$4:$D$60,4,FALSE())="","",VLOOKUP("Bonding adhesive",'Bid Products'!$A$4:$D$60,4,FALSE())),""))</f>
        <v/>
      </c>
      <c r="F38" s="455">
        <f>IF(OR(C38="NA",C38="",E38=""),"",C38*E38)</f>
        <v/>
      </c>
    </row>
    <row r="39" ht="32" customHeight="1" s="140">
      <c r="A39" s="439">
        <f>"Wall squares plus the curb, ÷ 3.   Curb is "&amp;TEXT(N(Takeoff!B26),"#,##0")&amp;" ft x "&amp;TEXT(N('Material Takeoff'!B94),"0")&amp;" ft tall = "&amp;TEXT(N(Takeoff!B26)*N('Material Takeoff'!B94),"#,##0")&amp;" sf.   "&amp;TEXT(N('Material Takeoff'!G8),"0")&amp;" sq + "&amp;TEXT(N(Takeoff!B26)*N('Material Takeoff'!B94)/100,"0.00")&amp;" sq  ÷ 3  =  "&amp;TEXT(N('Material Takeoff'!G97),"0")&amp;" pails"</f>
        <v/>
      </c>
    </row>
    <row r="40" ht="20" customHeight="1" s="140">
      <c r="A40" s="274" t="inlineStr">
        <is>
          <t>Rollers</t>
        </is>
      </c>
      <c r="B40" s="189">
        <f>IFERROR(IF('Material Takeoff'!F108="","",'Material Takeoff'!F108),"")</f>
        <v/>
      </c>
      <c r="C40" s="212">
        <f>IFERROR(IF('Material Takeoff'!G108="","",'Material Takeoff'!G108),"")</f>
        <v/>
      </c>
      <c r="D40" s="169" t="inlineStr">
        <is>
          <t>ea</t>
        </is>
      </c>
      <c r="E40" s="329">
        <f>IF(OR(C40="NA",C40="",N(C40)=0),"",IFERROR(IF(VLOOKUP("Rollers",'Bid Products'!$A$4:$D$60,4,FALSE())="","",VLOOKUP("Rollers",'Bid Products'!$A$4:$D$60,4,FALSE())),""))</f>
        <v/>
      </c>
      <c r="F40" s="455">
        <f>IF(OR(C40="NA",C40="",E40=""),"",C40*E40)</f>
        <v/>
      </c>
    </row>
    <row r="41" ht="32" customHeight="1" s="140">
      <c r="A41" s="439">
        <f>IF(N('Material Takeoff'!D108)=0,"rule not set yet",IF(RIGHT('Material Takeoff'!E108,1)=".",'Material Takeoff'!E108,'Material Takeoff'!E108&amp;".")&amp;"   "&amp;TEXT(N('Material Takeoff'!B108),"#,##0.##")&amp;"  ÷ "&amp;TEXT(N('Material Takeoff'!D108),"#,##0.##")&amp;"  =  "&amp;TEXT(N('Material Takeoff'!G108),"#,##0")&amp;" ea")</f>
        <v/>
      </c>
    </row>
    <row r="42" ht="20" customHeight="1" s="140">
      <c r="A42" s="274" t="inlineStr">
        <is>
          <t>Cages</t>
        </is>
      </c>
      <c r="B42" s="189">
        <f>IFERROR(IF('Material Takeoff'!F109="","",'Material Takeoff'!F109),"")</f>
        <v/>
      </c>
      <c r="C42" s="212">
        <f>IFERROR(IF('Material Takeoff'!G109="","",'Material Takeoff'!G109),"")</f>
        <v/>
      </c>
      <c r="D42" s="169" t="inlineStr">
        <is>
          <t>ea</t>
        </is>
      </c>
      <c r="E42" s="329">
        <f>IF(OR(C42="NA",C42="",N(C42)=0),"",IFERROR(IF(VLOOKUP("Cages",'Bid Products'!$A$4:$D$60,4,FALSE())="","",VLOOKUP("Cages",'Bid Products'!$A$4:$D$60,4,FALSE())),""))</f>
        <v/>
      </c>
      <c r="F42" s="455">
        <f>IF(OR(C42="NA",C42="",E42=""),"",C42*E42)</f>
        <v/>
      </c>
    </row>
    <row r="43" ht="32" customHeight="1" s="140">
      <c r="A43" s="439">
        <f>IF(N('Material Takeoff'!D109)=0,"rule not set yet",IF(RIGHT('Material Takeoff'!E109,1)=".",'Material Takeoff'!E109,'Material Takeoff'!E109&amp;".")&amp;"   "&amp;TEXT(N('Material Takeoff'!B109),"#,##0.##")&amp;"  ÷ "&amp;TEXT(N('Material Takeoff'!D109),"#,##0.##")&amp;"  =  "&amp;TEXT(N('Material Takeoff'!G109),"#,##0")&amp;" ea")</f>
        <v/>
      </c>
    </row>
    <row r="44" ht="20" customHeight="1" s="140">
      <c r="A44" s="274" t="inlineStr">
        <is>
          <t>Sticks</t>
        </is>
      </c>
      <c r="B44" s="189">
        <f>IFERROR(IF('Material Takeoff'!F110="","",'Material Takeoff'!F110),"")</f>
        <v/>
      </c>
      <c r="C44" s="212">
        <f>IFERROR(IF('Material Takeoff'!G110="","",'Material Takeoff'!G110),"")</f>
        <v/>
      </c>
      <c r="D44" s="169" t="inlineStr">
        <is>
          <t>ea</t>
        </is>
      </c>
      <c r="E44" s="329">
        <f>IF(OR(C44="NA",C44="",N(C44)=0),"",IFERROR(IF(VLOOKUP("Sticks",'Bid Products'!$A$4:$D$60,4,FALSE())="","",VLOOKUP("Sticks",'Bid Products'!$A$4:$D$60,4,FALSE())),""))</f>
        <v/>
      </c>
      <c r="F44" s="455">
        <f>IF(OR(C44="NA",C44="",E44=""),"",C44*E44)</f>
        <v/>
      </c>
    </row>
    <row r="45" ht="32" customHeight="1" s="140">
      <c r="A45" s="439">
        <f>IF(N('Material Takeoff'!D110)=0,"rule not set yet",IF(RIGHT('Material Takeoff'!E110,1)=".",'Material Takeoff'!E110,'Material Takeoff'!E110&amp;".")&amp;"   "&amp;TEXT(N('Material Takeoff'!B110),"#,##0.##")&amp;"  ÷ "&amp;TEXT(N('Material Takeoff'!D110),"#,##0.##")&amp;"  =  "&amp;TEXT(N('Material Takeoff'!G110),"#,##0")&amp;" ea")</f>
        <v/>
      </c>
    </row>
    <row r="46" ht="22" customHeight="1" s="140">
      <c r="A46" s="143" t="inlineStr">
        <is>
          <t>ACCESSORIES</t>
        </is>
      </c>
    </row>
    <row r="47" ht="20" customHeight="1" s="140">
      <c r="A47" s="165" t="inlineStr">
        <is>
          <t>Item</t>
        </is>
      </c>
      <c r="B47" s="165" t="inlineStr">
        <is>
          <t>RAW  (before rounding)</t>
        </is>
      </c>
      <c r="C47" s="165" t="inlineStr">
        <is>
          <t>Qty</t>
        </is>
      </c>
      <c r="D47" s="165" t="inlineStr">
        <is>
          <t>Unit</t>
        </is>
      </c>
      <c r="E47" s="165" t="inlineStr">
        <is>
          <t>Unit $</t>
        </is>
      </c>
      <c r="F47" s="165" t="inlineStr">
        <is>
          <t>Line Total</t>
        </is>
      </c>
    </row>
    <row r="48" ht="20" customHeight="1" s="140">
      <c r="A48" s="274" t="inlineStr">
        <is>
          <t>Unsupported flashing</t>
        </is>
      </c>
      <c r="B48" s="189">
        <f>IFERROR(IF('Material Takeoff'!F98="","",'Material Takeoff'!F98),"")</f>
        <v/>
      </c>
      <c r="C48" s="212">
        <f>IFERROR(IF('Material Takeoff'!G98="","",'Material Takeoff'!G98),"")</f>
        <v/>
      </c>
      <c r="D48" s="169" t="inlineStr">
        <is>
          <t>roll</t>
        </is>
      </c>
      <c r="E48" s="329">
        <f>IF(OR(C48="NA",C48="",N(C48)=0),"",IFERROR(IF(VLOOKUP("Unsupported flashing",'Bid Products'!$A$4:$D$60,4,FALSE())="","",VLOOKUP("Unsupported flashing",'Bid Products'!$A$4:$D$60,4,FALSE())),""))</f>
        <v/>
      </c>
      <c r="F48" s="455">
        <f>IF(OR(C48="NA",C48="",E48=""),"",C48*E48)</f>
        <v/>
      </c>
    </row>
    <row r="49" ht="32" customHeight="1" s="140">
      <c r="A49" s="439">
        <f>IF(N('Material Takeoff'!D98)=0,"rule not set yet",IF(RIGHT('Material Takeoff'!E98,1)=".",'Material Takeoff'!E98,'Material Takeoff'!E98&amp;".")&amp;"   "&amp;TEXT(N('Material Takeoff'!B98),"#,##0.##")&amp;"  ÷ "&amp;TEXT(N('Material Takeoff'!D98),"#,##0.##")&amp;"  =  "&amp;TEXT(N('Material Takeoff'!G98),"#,##0")&amp;" roll")</f>
        <v/>
      </c>
    </row>
    <row r="50" ht="20" customHeight="1" s="140">
      <c r="A50" s="274" t="inlineStr">
        <is>
          <t>TPO T-joints</t>
        </is>
      </c>
      <c r="B50" s="189">
        <f>IFERROR(IF('Material Takeoff'!F100="","",'Material Takeoff'!F100),"")</f>
        <v/>
      </c>
      <c r="C50" s="212">
        <f>IFERROR(IF('Material Takeoff'!G100="","",'Material Takeoff'!G100),"")</f>
        <v/>
      </c>
      <c r="D50" s="169" t="inlineStr">
        <is>
          <t>bag</t>
        </is>
      </c>
      <c r="E50" s="329">
        <f>IF(OR(C50="NA",C50="",N(C50)=0),"",IFERROR(IF(VLOOKUP("TPO T-joints",'Bid Products'!$A$4:$D$60,4,FALSE())="","",VLOOKUP("TPO T-joints",'Bid Products'!$A$4:$D$60,4,FALSE())),""))</f>
        <v/>
      </c>
      <c r="F50" s="455">
        <f>IF(OR(C50="NA",C50="",E50=""),"",C50*E50)</f>
        <v/>
      </c>
    </row>
    <row r="51" ht="32" customHeight="1" s="140">
      <c r="A51" s="439">
        <f>IF(N('Material Takeoff'!D100)=0,"rule not set yet",IF(RIGHT('Material Takeoff'!E100,1)=".",'Material Takeoff'!E100,'Material Takeoff'!E100&amp;".")&amp;"   "&amp;TEXT(N('Material Takeoff'!B100),"#,##0.##")&amp;"  ÷ "&amp;TEXT(N('Material Takeoff'!D100),"#,##0.##")&amp;"  =  "&amp;TEXT(N('Material Takeoff'!G100),"#,##0")&amp;" box")</f>
        <v/>
      </c>
    </row>
    <row r="52" ht="20" customHeight="1" s="140">
      <c r="A52" s="274" t="inlineStr">
        <is>
          <t>TPO corners</t>
        </is>
      </c>
      <c r="B52" s="189">
        <f>IFERROR(IF('Material Takeoff'!F114="","",'Material Takeoff'!F114),"")</f>
        <v/>
      </c>
      <c r="C52" s="212">
        <f>IFERROR(IF('Material Takeoff'!G114="","",'Material Takeoff'!G114),"")</f>
        <v/>
      </c>
      <c r="D52" s="169" t="inlineStr">
        <is>
          <t>ea</t>
        </is>
      </c>
      <c r="E52" s="329">
        <f>IF(OR(C52="NA",C52="",N(C52)=0),"",IFERROR(IF(VLOOKUP("TPO corners",'Bid Products'!$A$4:$D$60,4,FALSE())="","",VLOOKUP("TPO corners",'Bid Products'!$A$4:$D$60,4,FALSE())),""))</f>
        <v/>
      </c>
      <c r="F52" s="455">
        <f>IF(OR(C52="NA",C52="",E52=""),"",C52*E52)</f>
        <v/>
      </c>
    </row>
    <row r="53" ht="32" customHeight="1" s="140">
      <c r="A53" s="439">
        <f>"4 corners on every curb.   "&amp;TEXT(N(Takeoff!F22),"#,##0")&amp;" curbs  x 4  =  "&amp;TEXT(N('Material Takeoff'!G114),"#,##0")&amp;" corners.   Unsupported flashing stays in for the odd details."</f>
        <v/>
      </c>
    </row>
    <row r="54" ht="20" customHeight="1" s="140">
      <c r="A54" s="274" t="inlineStr">
        <is>
          <t>TPO molded pipe boots</t>
        </is>
      </c>
      <c r="B54" s="189">
        <f>IFERROR(C54,"")</f>
        <v/>
      </c>
      <c r="C54" s="212">
        <f>IFERROR(N(Takeoff!B28),"")</f>
        <v/>
      </c>
      <c r="D54" s="169" t="inlineStr">
        <is>
          <t>ea</t>
        </is>
      </c>
      <c r="E54" s="329">
        <f>IF(OR(C54="NA",C54="",N(C54)=0),"",IFERROR(IF(VLOOKUP("TPO molded pipe boots",'Bid Products'!$A$4:$D$60,4,FALSE())="","",VLOOKUP("TPO molded pipe boots",'Bid Products'!$A$4:$D$60,4,FALSE())),""))</f>
        <v/>
      </c>
      <c r="F54" s="455">
        <f>IF(OR(C54="NA",C54="",E54=""),"",C54*E54)</f>
        <v/>
      </c>
    </row>
    <row r="55" ht="20" customHeight="1" s="140">
      <c r="A55" s="274" t="inlineStr">
        <is>
          <t>Pitch pockets</t>
        </is>
      </c>
      <c r="B55" s="189">
        <f>IFERROR(C55,"")</f>
        <v/>
      </c>
      <c r="C55" s="212">
        <f>IFERROR(N(Takeoff!B27),"")</f>
        <v/>
      </c>
      <c r="D55" s="169" t="inlineStr">
        <is>
          <t>ea</t>
        </is>
      </c>
      <c r="E55" s="329">
        <f>IF(OR(C55="NA",C55="",N(C55)=0),"",IFERROR(IF(VLOOKUP("Pitch pockets",'Bid Products'!$A$4:$D$60,4,FALSE())="","",VLOOKUP("Pitch pockets",'Bid Products'!$A$4:$D$60,4,FALSE())),""))</f>
        <v/>
      </c>
      <c r="F55" s="455">
        <f>IF(OR(C55="NA",C55="",E55=""),"",C55*E55)</f>
        <v/>
      </c>
    </row>
    <row r="56" ht="20" customHeight="1" s="140">
      <c r="A56" s="274" t="inlineStr">
        <is>
          <t>Pourable sealer</t>
        </is>
      </c>
      <c r="B56" s="189">
        <f>IFERROR(N(Takeoff!B27)/2,"")</f>
        <v/>
      </c>
      <c r="C56" s="212">
        <f>IFERROR(IF(N(Takeoff!B27)=0,"",ROUNDUP(N(Takeoff!B27)/2,0)),"")</f>
        <v/>
      </c>
      <c r="D56" s="169" t="inlineStr">
        <is>
          <t>kit</t>
        </is>
      </c>
      <c r="E56" s="329">
        <f>IF(OR(C56="NA",C56="",N(C56)=0),"",IFERROR(IF(VLOOKUP("Pourable sealer",'Bid Products'!$A$4:$D$60,4,FALSE())="","",VLOOKUP("Pourable sealer",'Bid Products'!$A$4:$D$60,4,FALSE())),""))</f>
        <v/>
      </c>
      <c r="F56" s="455">
        <f>IF(OR(C56="NA",C56="",E56=""),"",C56*E56)</f>
        <v/>
      </c>
    </row>
    <row r="57" ht="20" customHeight="1" s="140">
      <c r="A57" s="274" t="inlineStr">
        <is>
          <t>TPO cover tape</t>
        </is>
      </c>
      <c r="B57" s="189">
        <f>IFERROR(IF('Material Takeoff'!F113="","",'Material Takeoff'!F113),"")</f>
        <v/>
      </c>
      <c r="C57" s="212">
        <f>IFERROR(IF('Material Takeoff'!G113="","",'Material Takeoff'!G113),"")</f>
        <v/>
      </c>
      <c r="D57" s="169" t="inlineStr">
        <is>
          <t>roll</t>
        </is>
      </c>
      <c r="E57" s="329">
        <f>IF(OR(C57="NA",C57="",N(C57)=0),"",IFERROR(IF(VLOOKUP("TPO cover tape",'Bid Products'!$A$4:$D$60,4,FALSE())="","",VLOOKUP("TPO cover tape",'Bid Products'!$A$4:$D$60,4,FALSE())),""))</f>
        <v/>
      </c>
      <c r="F57" s="455">
        <f>IF(OR(C57="NA",C57="",E57=""),"",C57*E57)</f>
        <v/>
      </c>
    </row>
    <row r="58" ht="32" customHeight="1" s="140">
      <c r="A58" s="439">
        <f>IF(N('Material Takeoff'!D113)=0,"rule not set yet",IF(RIGHT('Material Takeoff'!E113,1)=".",'Material Takeoff'!E113,'Material Takeoff'!E113&amp;".")&amp;"   "&amp;TEXT(N('Material Takeoff'!B113),"#,##0.##")&amp;"  ÷ "&amp;TEXT(N('Material Takeoff'!D113),"#,##0.##")&amp;"  =  "&amp;TEXT(N('Material Takeoff'!G113),"#,##0")&amp;" roll")</f>
        <v/>
      </c>
    </row>
    <row r="59" ht="20" customHeight="1" s="140">
      <c r="A59" s="274" t="inlineStr">
        <is>
          <t>Primer</t>
        </is>
      </c>
      <c r="B59" s="189">
        <f>IFERROR(IF('Material Takeoff'!F111="","",'Material Takeoff'!F111),"")</f>
        <v/>
      </c>
      <c r="C59" s="212">
        <f>IFERROR(IF('Material Takeoff'!G111="","",'Material Takeoff'!G111),"")</f>
        <v/>
      </c>
      <c r="D59" s="169" t="inlineStr">
        <is>
          <t>pail</t>
        </is>
      </c>
      <c r="E59" s="329">
        <f>IF(OR(C59="NA",C59="",N(C59)=0),"",IFERROR(IF(VLOOKUP("Primer",'Bid Products'!$A$4:$D$60,4,FALSE())="","",VLOOKUP("Primer",'Bid Products'!$A$4:$D$60,4,FALSE())),""))</f>
        <v/>
      </c>
      <c r="F59" s="455">
        <f>IF(OR(C59="NA",C59="",E59=""),"",C59*E59)</f>
        <v/>
      </c>
    </row>
    <row r="60" ht="32" customHeight="1" s="140">
      <c r="A60" s="439">
        <f>IF(N('Material Takeoff'!D111)=0,"rule not set yet",IF(RIGHT('Material Takeoff'!E111,1)=".",'Material Takeoff'!E111,'Material Takeoff'!E111&amp;".")&amp;"   "&amp;TEXT(N('Material Takeoff'!B111),"#,##0.##")&amp;"  ÷ "&amp;TEXT(N('Material Takeoff'!D111),"#,##0.##")&amp;"  =  "&amp;TEXT(N('Material Takeoff'!G111),"#,##0")&amp;" can")</f>
        <v/>
      </c>
    </row>
    <row r="61" ht="20" customHeight="1" s="140">
      <c r="A61" s="274" t="inlineStr">
        <is>
          <t>Brushes</t>
        </is>
      </c>
      <c r="B61" s="189">
        <f>IFERROR(IF('Material Takeoff'!F112="","",'Material Takeoff'!F112),"")</f>
        <v/>
      </c>
      <c r="C61" s="212">
        <f>IFERROR(IF('Material Takeoff'!G112="","",'Material Takeoff'!G112),"")</f>
        <v/>
      </c>
      <c r="D61" s="169" t="inlineStr">
        <is>
          <t>ea</t>
        </is>
      </c>
      <c r="E61" s="329">
        <f>IF(OR(C61="NA",C61="",N(C61)=0),"",IFERROR(IF(VLOOKUP("Brushes",'Bid Products'!$A$4:$D$60,4,FALSE())="","",VLOOKUP("Brushes",'Bid Products'!$A$4:$D$60,4,FALSE())),""))</f>
        <v/>
      </c>
      <c r="F61" s="455">
        <f>IF(OR(C61="NA",C61="",E61=""),"",C61*E61)</f>
        <v/>
      </c>
    </row>
    <row r="62" ht="32" customHeight="1" s="140">
      <c r="A62" s="439">
        <f>IF(N('Material Takeoff'!D112)=0,"rule not set yet",IF(RIGHT('Material Takeoff'!E112,1)=".",'Material Takeoff'!E112,'Material Takeoff'!E112&amp;".")&amp;"   "&amp;TEXT(N('Material Takeoff'!B112),"#,##0.##")&amp;"  ÷ "&amp;TEXT(N('Material Takeoff'!D112),"#,##0.##")&amp;"  =  "&amp;TEXT(N('Material Takeoff'!G112),"#,##0")&amp;" ea")</f>
        <v/>
      </c>
    </row>
    <row r="63" ht="20" customHeight="1" s="140">
      <c r="A63" s="274" t="inlineStr">
        <is>
          <t>TPO cut-edge sealant</t>
        </is>
      </c>
      <c r="B63" s="189">
        <f>IFERROR(IF('Material Takeoff'!F101="","",'Material Takeoff'!F101),"")</f>
        <v/>
      </c>
      <c r="C63" s="212">
        <f>IFERROR(IF('Material Takeoff'!G101="","",'Material Takeoff'!G101),"")</f>
        <v/>
      </c>
      <c r="D63" s="169" t="inlineStr">
        <is>
          <t>tube</t>
        </is>
      </c>
      <c r="E63" s="329">
        <f>IF(OR(C63="NA",C63="",N(C63)=0),"",IFERROR(IF(VLOOKUP("TPO cut-edge sealant",'Bid Products'!$A$4:$D$60,4,FALSE())="","",VLOOKUP("TPO cut-edge sealant",'Bid Products'!$A$4:$D$60,4,FALSE())),""))</f>
        <v/>
      </c>
      <c r="F63" s="455">
        <f>IF(OR(C63="NA",C63="",E63=""),"",C63*E63)</f>
        <v/>
      </c>
    </row>
    <row r="64" ht="32" customHeight="1" s="140">
      <c r="A64" s="439">
        <f>IF(N('Material Takeoff'!D101)=0,"rule not set yet",IF(RIGHT('Material Takeoff'!E101,1)=".",'Material Takeoff'!E101,'Material Takeoff'!E101&amp;".")&amp;"   "&amp;TEXT(N('Material Takeoff'!B101),"#,##0.##")&amp;"  ÷ "&amp;TEXT(N('Material Takeoff'!D101),"#,##0.##")&amp;"  =  "&amp;TEXT(N('Material Takeoff'!G101),"#,##0")&amp;" tube")</f>
        <v/>
      </c>
    </row>
    <row r="65" ht="20" customHeight="1" s="140">
      <c r="A65" s="274" t="inlineStr">
        <is>
          <t>TPO LVOC all-purpose</t>
        </is>
      </c>
      <c r="B65" s="189">
        <f>IFERROR(IF('Material Takeoff'!F102="","",'Material Takeoff'!F102),"")</f>
        <v/>
      </c>
      <c r="C65" s="212">
        <f>IFERROR(IF('Material Takeoff'!G102="","",'Material Takeoff'!G102),"")</f>
        <v/>
      </c>
      <c r="D65" s="169" t="inlineStr">
        <is>
          <t>can</t>
        </is>
      </c>
      <c r="E65" s="329">
        <f>IF(OR(C65="NA",C65="",N(C65)=0),"",IFERROR(IF(VLOOKUP("TPO LVOC all-purpose",'Bid Products'!$A$4:$D$60,4,FALSE())="","",VLOOKUP("TPO LVOC all-purpose",'Bid Products'!$A$4:$D$60,4,FALSE())),""))</f>
        <v/>
      </c>
      <c r="F65" s="455">
        <f>IF(OR(C65="NA",C65="",E65=""),"",C65*E65)</f>
        <v/>
      </c>
    </row>
    <row r="66" ht="32" customHeight="1" s="140">
      <c r="A66" s="439">
        <f>IF(N('Material Takeoff'!D102)=0,"rule not set yet",IF(RIGHT('Material Takeoff'!E102,1)=".",'Material Takeoff'!E102,'Material Takeoff'!E102&amp;".")&amp;"   "&amp;TEXT(N('Material Takeoff'!B102),"#,##0.##")&amp;"  ÷ "&amp;TEXT(N('Material Takeoff'!D102),"#,##0.##")&amp;"  =  "&amp;TEXT(N('Material Takeoff'!G102),"#,##0")&amp;" can")</f>
        <v/>
      </c>
    </row>
    <row r="67" ht="20" customHeight="1" s="140">
      <c r="A67" s="274" t="inlineStr">
        <is>
          <t>Water block</t>
        </is>
      </c>
      <c r="B67" s="189">
        <f>IFERROR(IF('Material Takeoff'!F103="","",'Material Takeoff'!F103),"")</f>
        <v/>
      </c>
      <c r="C67" s="212">
        <f>IFERROR(IF('Material Takeoff'!G103="","",'Material Takeoff'!G103),"")</f>
        <v/>
      </c>
      <c r="D67" s="169" t="inlineStr">
        <is>
          <t>tube</t>
        </is>
      </c>
      <c r="E67" s="329">
        <f>IF(OR(C67="NA",C67="",N(C67)=0),"",IFERROR(IF(VLOOKUP("Water block",'Bid Products'!$A$4:$D$60,4,FALSE())="","",VLOOKUP("Water block",'Bid Products'!$A$4:$D$60,4,FALSE())),""))</f>
        <v/>
      </c>
      <c r="F67" s="455">
        <f>IF(OR(C67="NA",C67="",E67=""),"",C67*E67)</f>
        <v/>
      </c>
    </row>
    <row r="68" ht="32" customHeight="1" s="140">
      <c r="A68" s="439">
        <f>IF(N('Material Takeoff'!D103)=0,"rule not set yet",IF(RIGHT('Material Takeoff'!E103,1)=".",'Material Takeoff'!E103,'Material Takeoff'!E103&amp;".")&amp;"   "&amp;TEXT(N('Material Takeoff'!B103),"#,##0.##")&amp;"  ÷ "&amp;TEXT(N('Material Takeoff'!D103),"#,##0.##")&amp;"  =  "&amp;TEXT(N('Material Takeoff'!G103),"#,##0")&amp;" tube")</f>
        <v/>
      </c>
    </row>
    <row r="69" ht="8" customHeight="1" s="140">
      <c r="A69" s="275" t="n"/>
    </row>
    <row r="70" ht="20" customHeight="1" s="140">
      <c r="A70" s="274" t="inlineStr">
        <is>
          <t>TPO cleaner 5g</t>
        </is>
      </c>
      <c r="B70" s="189">
        <f>IFERROR(IF('Material Takeoff'!F99="","",'Material Takeoff'!F99),"")</f>
        <v/>
      </c>
      <c r="C70" s="212">
        <f>IFERROR(IF('Material Takeoff'!G99="","",'Material Takeoff'!G99),"")</f>
        <v/>
      </c>
      <c r="D70" s="169" t="inlineStr">
        <is>
          <t>pail</t>
        </is>
      </c>
      <c r="E70" s="329">
        <f>IF(OR(C70="NA",C70="",N(C70)=0),"",IFERROR(IF(VLOOKUP("TPO cleaner 5g",'Bid Products'!$A$4:$D$60,4,FALSE())="","",VLOOKUP("TPO cleaner 5g",'Bid Products'!$A$4:$D$60,4,FALSE())),""))</f>
        <v/>
      </c>
      <c r="F70" s="455">
        <f>IF(OR(C70="NA",C70="",E70=""),"",C70*E70)</f>
        <v/>
      </c>
    </row>
    <row r="71" ht="32" customHeight="1" s="140">
      <c r="A71" s="439">
        <f>IF(N('Material Takeoff'!D99)=0,"rule not set yet",IF(RIGHT('Material Takeoff'!E99,1)=".",'Material Takeoff'!E99,'Material Takeoff'!E99&amp;".")&amp;"   "&amp;TEXT(N('Material Takeoff'!B99),"#,##0.##")&amp;"  ÷ "&amp;TEXT(N('Material Takeoff'!D99),"#,##0.##")&amp;"  =  "&amp;TEXT(N('Material Takeoff'!G99),"#,##0")&amp;" can")</f>
        <v/>
      </c>
    </row>
    <row r="72" ht="20" customHeight="1" s="140">
      <c r="A72" s="274" t="inlineStr">
        <is>
          <t>Rags</t>
        </is>
      </c>
      <c r="B72" s="189">
        <f>IFERROR(IF('Material Takeoff'!F105="","",'Material Takeoff'!F105),"")</f>
        <v/>
      </c>
      <c r="C72" s="212">
        <f>IFERROR(IF('Material Takeoff'!G105="","",'Material Takeoff'!G105),"")</f>
        <v/>
      </c>
      <c r="D72" s="169" t="inlineStr">
        <is>
          <t>box</t>
        </is>
      </c>
      <c r="E72" s="329">
        <f>IF(OR(C72="NA",C72="",N(C72)=0),"",IFERROR(IF(VLOOKUP("Rags",'Bid Products'!$A$4:$D$60,4,FALSE())="","",VLOOKUP("Rags",'Bid Products'!$A$4:$D$60,4,FALSE())),""))</f>
        <v/>
      </c>
      <c r="F72" s="455">
        <f>IF(OR(C72="NA",C72="",E72=""),"",C72*E72)</f>
        <v/>
      </c>
    </row>
    <row r="73" ht="32" customHeight="1" s="140">
      <c r="A73" s="439">
        <f>IF(N('Material Takeoff'!D105)=0,"rule not set yet",IF(RIGHT('Material Takeoff'!E105,1)=".",'Material Takeoff'!E105,'Material Takeoff'!E105&amp;".")&amp;"   "&amp;TEXT(N('Material Takeoff'!B105),"#,##0.##")&amp;"  ÷ "&amp;TEXT(N('Material Takeoff'!D105),"#,##0.##")&amp;"  =  "&amp;TEXT(N('Material Takeoff'!G105),"#,##0")&amp;" box")</f>
        <v/>
      </c>
    </row>
    <row r="74" ht="20" customHeight="1" s="140">
      <c r="A74" s="274" t="inlineStr">
        <is>
          <t>Hose clamps</t>
        </is>
      </c>
      <c r="B74" s="189">
        <f>IFERROR(IF('Material Takeoff'!F106="","",'Material Takeoff'!F106),"")</f>
        <v/>
      </c>
      <c r="C74" s="212">
        <f>IFERROR(IF('Material Takeoff'!G106="","",'Material Takeoff'!G106),"")</f>
        <v/>
      </c>
      <c r="D74" s="169" t="inlineStr">
        <is>
          <t>roll</t>
        </is>
      </c>
      <c r="E74" s="329">
        <f>IF(OR(C74="NA",C74="",N(C74)=0),"",IFERROR(IF(VLOOKUP("Hose clamps",'Bid Products'!$A$4:$D$60,4,FALSE())="","",VLOOKUP("Hose clamps",'Bid Products'!$A$4:$D$60,4,FALSE())),""))</f>
        <v/>
      </c>
      <c r="F74" s="455">
        <f>IF(OR(C74="NA",C74="",E74=""),"",C74*E74)</f>
        <v/>
      </c>
    </row>
    <row r="75" ht="32" customHeight="1" s="140">
      <c r="A75" s="439">
        <f>IF(N('Material Takeoff'!D106)=0,"rule not set yet",IF(RIGHT('Material Takeoff'!E106,1)=".",'Material Takeoff'!E106,'Material Takeoff'!E106&amp;".")&amp;"   "&amp;TEXT(N('Material Takeoff'!B106),"#,##0.##")&amp;"  ÷ "&amp;TEXT(N('Material Takeoff'!D106),"#,##0.##")&amp;"  =  "&amp;TEXT(N('Material Takeoff'!G106),"#,##0")&amp;" box")</f>
        <v/>
      </c>
    </row>
    <row r="76" ht="20" customHeight="1" s="140">
      <c r="A76" s="274" t="inlineStr">
        <is>
          <t>Retro drains</t>
        </is>
      </c>
      <c r="B76" s="189">
        <f>IFERROR(IF('Material Takeoff'!F107="","",'Material Takeoff'!F107),"")</f>
        <v/>
      </c>
      <c r="C76" s="212">
        <f>IFERROR(IF('Material Takeoff'!G107="","",'Material Takeoff'!G107),"")</f>
        <v/>
      </c>
      <c r="D76" s="169" t="inlineStr">
        <is>
          <t>ea</t>
        </is>
      </c>
      <c r="E76" s="329">
        <f>IF(OR(C76="NA",C76="",N(C76)=0),"",IFERROR(IF(VLOOKUP("Retro drains",'Bid Products'!$A$4:$D$60,4,FALSE())="","",VLOOKUP("Retro drains",'Bid Products'!$A$4:$D$60,4,FALSE())),""))</f>
        <v/>
      </c>
      <c r="F76" s="455">
        <f>IF(OR(C76="NA",C76="",E76=""),"",C76*E76)</f>
        <v/>
      </c>
    </row>
    <row r="77" ht="32" customHeight="1" s="140">
      <c r="A77" s="439">
        <f>IF(ISNUMBER(SEARCH("TEAR",UPPER(Existing!B6))),"One retro drain per existing drain.   "&amp;TEXT(N(Takeoff!B34),"0")&amp;" drains on this roof = "&amp;TEXT(N('Material Takeoff'!G107),"0")&amp;" retro drains.   Each one takes water block, which is why the water block count is the LVOC cans plus the drains.","NEW CONSTRUCTION — a retro drain is never an option here. This line stays at zero.")</f>
        <v/>
      </c>
    </row>
    <row r="78" ht="22" customHeight="1" s="140">
      <c r="A78" s="143" t="inlineStr">
        <is>
          <t>ROOF HATCH</t>
        </is>
      </c>
    </row>
    <row r="79" ht="20" customHeight="1" s="140">
      <c r="A79" s="165" t="inlineStr">
        <is>
          <t>Item</t>
        </is>
      </c>
      <c r="B79" s="165" t="inlineStr">
        <is>
          <t>RAW  (before rounding)</t>
        </is>
      </c>
      <c r="C79" s="165" t="inlineStr">
        <is>
          <t>Qty</t>
        </is>
      </c>
      <c r="D79" s="165" t="inlineStr">
        <is>
          <t>Unit</t>
        </is>
      </c>
      <c r="E79" s="165" t="inlineStr">
        <is>
          <t>Unit $</t>
        </is>
      </c>
      <c r="F79" s="165" t="inlineStr">
        <is>
          <t>Line Total</t>
        </is>
      </c>
    </row>
    <row r="80" ht="20" customHeight="1" s="140">
      <c r="A80" s="274" t="inlineStr">
        <is>
          <t>Roof hatch</t>
        </is>
      </c>
      <c r="B80" s="189">
        <f>IF(N(Takeoff!B31)=0,"NA","")</f>
        <v/>
      </c>
      <c r="C80" s="212">
        <f>IF(N(Takeoff!B31)=0,"NA",IFERROR(IF('Material Takeoff'!G158="","",'Material Takeoff'!G158),""))</f>
        <v/>
      </c>
      <c r="D80" s="169" t="inlineStr">
        <is>
          <t>ea</t>
        </is>
      </c>
      <c r="E80" s="329">
        <f>IF(OR(C80="NA",C80="",N(C80)=0),"",IFERROR(IF(VLOOKUP("Roof hatch",'Bid Products'!$A$4:$D$60,4,FALSE())="","",VLOOKUP("Roof hatch",'Bid Products'!$A$4:$D$60,4,FALSE())),""))</f>
        <v/>
      </c>
      <c r="F80" s="455">
        <f>IF(OR(C80="NA",C80="",E80=""),"",C80*E80)</f>
        <v/>
      </c>
    </row>
    <row r="81" ht="20" customHeight="1" s="140">
      <c r="A81" s="274" t="inlineStr">
        <is>
          <t>Safety ladder-up post</t>
        </is>
      </c>
      <c r="B81" s="189">
        <f>IF(N(Takeoff!B31)=0,"NA","")</f>
        <v/>
      </c>
      <c r="C81" s="212">
        <f>IF(N(Takeoff!B31)=0,"NA",IFERROR(IF('Material Takeoff'!G159="","",'Material Takeoff'!G159),""))</f>
        <v/>
      </c>
      <c r="D81" s="169" t="inlineStr">
        <is>
          <t>ea</t>
        </is>
      </c>
      <c r="E81" s="329">
        <f>IF(OR(C81="NA",C81="",N(C81)=0),"",IFERROR(IF(VLOOKUP("Safety ladder-up post",'Bid Products'!$A$4:$D$60,4,FALSE())="","",VLOOKUP("Safety ladder-up post",'Bid Products'!$A$4:$D$60,4,FALSE())),""))</f>
        <v/>
      </c>
      <c r="F81" s="455">
        <f>IF(OR(C81="NA",C81="",E81=""),"",C81*E81)</f>
        <v/>
      </c>
    </row>
    <row r="82" ht="20" customHeight="1" s="140">
      <c r="A82" s="274" t="inlineStr">
        <is>
          <t>Backer rod</t>
        </is>
      </c>
      <c r="B82" s="189">
        <f>IF(N(Takeoff!B31)=0,"NA",IFERROR(IF('Material Takeoff'!F104="","",'Material Takeoff'!F104),""))</f>
        <v/>
      </c>
      <c r="C82" s="212">
        <f>IF(N(Takeoff!B31)=0,"NA",IFERROR(IF('Material Takeoff'!G104="","",'Material Takeoff'!G104),""))</f>
        <v/>
      </c>
      <c r="D82" s="169" t="inlineStr">
        <is>
          <t>bag</t>
        </is>
      </c>
      <c r="E82" s="329">
        <f>IF(OR(C82="NA",C82="",N(C82)=0),"",IFERROR(IF(VLOOKUP("Backer rod",'Bid Products'!$A$4:$D$60,4,FALSE())="","",VLOOKUP("Backer rod",'Bid Products'!$A$4:$D$60,4,FALSE())),""))</f>
        <v/>
      </c>
      <c r="F82" s="455">
        <f>IF(OR(C82="NA",C82="",E82=""),"",C82*E82)</f>
        <v/>
      </c>
    </row>
    <row r="83" ht="32" customHeight="1" s="140">
      <c r="A83" s="439">
        <f>IF(N(Takeoff!B31)=0,"NA — no roof hatch, so no backer rod.",IF(N('Material Takeoff'!D104)=0,"rule not set yet",IF(RIGHT('Material Takeoff'!E104,1)=".",'Material Takeoff'!E104,'Material Takeoff'!E104&amp;".")&amp;"   "&amp;TEXT(N('Material Takeoff'!B104),"#,##0.##")&amp;"  ÷ "&amp;TEXT(N('Material Takeoff'!D104),"#,##0.##")&amp;"  =  "&amp;TEXT(N('Material Takeoff'!G104),"#,##0")&amp;" bag"))</f>
        <v/>
      </c>
    </row>
    <row r="84" ht="20" customHeight="1" s="140">
      <c r="A84" s="274" t="inlineStr">
        <is>
          <t>Railing / guardrail set</t>
        </is>
      </c>
      <c r="B84" s="189">
        <f>IF(N(Takeoff!B31)=0,"NA","")</f>
        <v/>
      </c>
      <c r="C84" s="212">
        <f>IF(N(Takeoff!B31)=0,"NA",IFERROR(IF('Material Takeoff'!G160="","",'Material Takeoff'!G160),""))</f>
        <v/>
      </c>
      <c r="D84" s="169" t="inlineStr">
        <is>
          <t>ea</t>
        </is>
      </c>
      <c r="E84" s="329">
        <f>IF(OR(C84="NA",C84="",N(C84)=0),"",IFERROR(IF(VLOOKUP("Railing / guardrail set",'Bid Products'!$A$4:$D$60,4,FALSE())="","",VLOOKUP("Railing / guardrail set",'Bid Products'!$A$4:$D$60,4,FALSE())),""))</f>
        <v/>
      </c>
      <c r="F84" s="455">
        <f>IF(OR(C84="NA",C84="",E84=""),"",C84*E84)</f>
        <v/>
      </c>
    </row>
    <row r="85" ht="20" customHeight="1" s="140">
      <c r="A85" s="274" t="inlineStr">
        <is>
          <t>Walkpad</t>
        </is>
      </c>
      <c r="B85" s="189">
        <f>IF(N('Material Takeoff'!B151)=0,"NA",IFERROR(IF('Material Takeoff'!F152="","",'Material Takeoff'!F152),""))</f>
        <v/>
      </c>
      <c r="C85" s="212">
        <f>IF(N('Material Takeoff'!B151)=0,"NA",IFERROR(IF('Material Takeoff'!G152="","",'Material Takeoff'!G152),""))</f>
        <v/>
      </c>
      <c r="D85" s="169" t="inlineStr">
        <is>
          <t>roll</t>
        </is>
      </c>
      <c r="E85" s="329">
        <f>IF(OR(C85="NA",C85="",N(C85)=0),"",IFERROR(IF(VLOOKUP("Walkpad",'Bid Products'!$A$4:$D$60,4,FALSE())="","",VLOOKUP("Walkpad",'Bid Products'!$A$4:$D$60,4,FALSE())),""))</f>
        <v/>
      </c>
      <c r="F85" s="455">
        <f>IF(OR(C85="NA",C85="",E85=""),"",C85*E85)</f>
        <v/>
      </c>
    </row>
    <row r="86" ht="32" customHeight="1" s="140">
      <c r="A86" s="439">
        <f>"Plan LF plus 10 ft for every roof hatch — both reasons in one number, so it is only counted once.   "&amp;TEXT(N('Material Takeoff'!B147),"#,##0")&amp;" ft from the plan  +  "&amp;TEXT(N('Material Takeoff'!B148),"0")&amp;" hatch x "&amp;TEXT(N('Material Takeoff'!B149),"0")&amp;" ft  =  "&amp;TEXT(N('Material Takeoff'!B151),"#,##0")&amp;" ft.   A roll is "&amp;TEXT(N('Material Takeoff'!B150),"0")&amp;" ft:  "&amp;TEXT(N('Material Takeoff'!B151),"#,##0")&amp;" ÷ "&amp;TEXT(N('Material Takeoff'!B150),"0")&amp;"  =  "&amp;TEXT(N('Material Takeoff'!F152),"0.00")&amp;"  →  "&amp;TEXT(N('Material Takeoff'!G152),"0.00")&amp;" rolls.   A partial buys a quarter, a half or the whole roll — never a full roll for a few feet."</f>
        <v/>
      </c>
    </row>
    <row r="87" ht="8" customHeight="1" s="140">
      <c r="A87" s="275" t="n"/>
    </row>
    <row r="88" ht="22" customHeight="1" s="140">
      <c r="A88" s="143" t="inlineStr">
        <is>
          <t>METAL</t>
        </is>
      </c>
    </row>
    <row r="89" ht="20" customHeight="1" s="140">
      <c r="A89" s="165" t="inlineStr">
        <is>
          <t>Item</t>
        </is>
      </c>
      <c r="B89" s="165" t="inlineStr">
        <is>
          <t>RAW  (before rounding)</t>
        </is>
      </c>
      <c r="C89" s="165" t="inlineStr">
        <is>
          <t>Qty</t>
        </is>
      </c>
      <c r="D89" s="165" t="inlineStr">
        <is>
          <t>Unit</t>
        </is>
      </c>
      <c r="E89" s="165" t="inlineStr">
        <is>
          <t>Unit $</t>
        </is>
      </c>
      <c r="F89" s="165" t="inlineStr">
        <is>
          <t>Line Total</t>
        </is>
      </c>
    </row>
    <row r="90" ht="20" customHeight="1" s="140">
      <c r="A90" s="274" t="inlineStr">
        <is>
          <t>Coping metal</t>
        </is>
      </c>
      <c r="B90" s="189">
        <f>IF(AND(N(Takeoff!B62)=0,N(Takeoff!B111)=0),"NA",IFERROR(IF('Material Takeoff'!B119="","",'Material Takeoff'!B119),""))</f>
        <v/>
      </c>
      <c r="C90" s="212">
        <f>IF(AND(N(Takeoff!B62)=0,N(Takeoff!B111)=0),"NA",IFERROR(IF('Material Takeoff'!G119="","",'Material Takeoff'!G119),""))</f>
        <v/>
      </c>
      <c r="D90" s="169" t="inlineStr">
        <is>
          <t>sheet / LF</t>
        </is>
      </c>
      <c r="E90" s="329">
        <f>IF(OR(C90="NA",C90="",N(C90)=0),"",IFERROR(IF(VLOOKUP("Coping metal",'Bid Products'!$A$4:$D$60,4,FALSE())="","",VLOOKUP("Coping metal",'Bid Products'!$A$4:$D$60,4,FALSE())),""))</f>
        <v/>
      </c>
      <c r="F90" s="455">
        <f>IF(OR(C90="NA",C90="",E90=""),"",C90*E90)</f>
        <v/>
      </c>
    </row>
    <row r="91" ht="32" customHeight="1" s="140">
      <c r="A91" s="439">
        <f>IF(AND(N(Takeoff!B62)=0,N(Takeoff!B111)=0),"NA — every wall facet on this roof is terminated in E2 GRAVEL STOP. The check on the Takeoff (F · row 1) reads OK, which means no facet is left without a termination. So there is no coping cap on this job.",IF(N(MAX(Takeoff!C54:C64))=0,"no stretch-out set yet","Each run rounds up to its own sheet, then they add up.  48 ÷ "&amp;TEXT(N(MAX(Takeoff!C54:C64)),"0.##")&amp;" in. stretch-out = "&amp;TEXT(ROUNDDOWN(48/MAX(Takeoff!C54:C64),0),"0")&amp;" strips x 10 ft = "&amp;TEXT((ROUNDDOWN(48/MAX(Takeoff!C54:C64),0)*10),"0")&amp;" ft a sheet.   "&amp;TEXT(N(Takeoff!B62),"#,##0")&amp;" LF  →  "&amp;TEXT(N('Material Takeoff'!G119),"0")&amp;" sheets"))</f>
        <v/>
      </c>
    </row>
    <row r="92" ht="20" customHeight="1" s="140">
      <c r="A92" s="274" t="inlineStr">
        <is>
          <t>Coping cleat</t>
        </is>
      </c>
      <c r="B92" s="189">
        <f>IF(AND(N(Takeoff!B62)=0,N(Takeoff!B111)=0),"NA",IFERROR(IF('Material Takeoff'!B124="","",'Material Takeoff'!B124),""))</f>
        <v/>
      </c>
      <c r="C92" s="212">
        <f>IF(AND(N(Takeoff!B62)=0,N(Takeoff!B111)=0),"NA",IFERROR(IF('Material Takeoff'!G124="","",'Material Takeoff'!G124),""))</f>
        <v/>
      </c>
      <c r="D92" s="169" t="inlineStr">
        <is>
          <t>sheet</t>
        </is>
      </c>
      <c r="E92" s="329">
        <f>IF(OR(C92="NA",C92="",N(C92)=0),"",IFERROR(IF(VLOOKUP("Coping cleat",'Bid Products'!$A$4:$D$60,4,FALSE())="","",VLOOKUP("Coping cleat",'Bid Products'!$A$4:$D$60,4,FALSE())),""))</f>
        <v/>
      </c>
      <c r="F92" s="455">
        <f>IF(OR(C92="NA",C92="",E92=""),"",C92*E92)</f>
        <v/>
      </c>
    </row>
    <row r="93" ht="32" customHeight="1" s="140">
      <c r="A93" s="439">
        <f>IF(AND(N(Takeoff!B62)=0,N(Takeoff!B111)=0),"NA — every wall facet on this roof is terminated in E2 GRAVEL STOP. The check on the Takeoff (F · row 1) reads OK, which means no facet is left without a termination. So there is no coping cleat on this job.",IF(N(Takeoff!E102)=0,"no stretch-out set yet","Every coping cap gets a cleat, and it runs the coping's own stretch-out.  48 ÷ "&amp;TEXT(N(Takeoff!E102),"0.##")&amp;" in. stretch-out = "&amp;TEXT(ROUNDDOWN(48/Takeoff!E102,0),"0")&amp;" strips x 10 ft = "&amp;TEXT(Takeoff!F102,"0")&amp;" ft a sheet.   "&amp;TEXT(N(Takeoff!B102),"#,##0")&amp;" LF  →  "&amp;TEXT(N('Material Takeoff'!G124),"0")&amp;" sheets"))</f>
        <v/>
      </c>
    </row>
    <row r="94" ht="20" customHeight="1" s="140">
      <c r="A94" s="274" t="inlineStr">
        <is>
          <t>Gravel stop metal</t>
        </is>
      </c>
      <c r="B94" s="189">
        <f>IFERROR(IF(N(MAX(Takeoff!C68:C80))=0,"",SUM(Takeoff!F68:F80)),"")</f>
        <v/>
      </c>
      <c r="C94" s="212">
        <f>IFERROR(IF('Material Takeoff'!G120="","",'Material Takeoff'!G120),"")</f>
        <v/>
      </c>
      <c r="D94" s="169" t="inlineStr">
        <is>
          <t>sheet / LF</t>
        </is>
      </c>
      <c r="E94" s="329">
        <f>IF(OR(C94="NA",C94="",N(C94)=0),"",IFERROR(IF(VLOOKUP("Gravel stop metal",'Bid Products'!$A$4:$D$60,4,FALSE())="","",VLOOKUP("Gravel stop metal",'Bid Products'!$A$4:$D$60,4,FALSE())),""))</f>
        <v/>
      </c>
      <c r="F94" s="455">
        <f>IF(OR(C94="NA",C94="",E94=""),"",C94*E94)</f>
        <v/>
      </c>
    </row>
    <row r="95" ht="32" customHeight="1" s="140">
      <c r="A95" s="439">
        <f>IF(N(MAX(Takeoff!C68:C78))=0,"no stretch-out set yet","Each run rounds up to its own sheet, then they add up.  48 ÷ "&amp;TEXT(N(MAX(Takeoff!C68:C78)),"0.##")&amp;" in. stretch-out = "&amp;TEXT(ROUNDDOWN(48/MAX(Takeoff!C68:C78),0),"0")&amp;" strips x 10 ft = "&amp;TEXT((ROUNDDOWN(48/MAX(Takeoff!C68:C78),0)*10),"0")&amp;" ft a sheet.   "&amp;TEXT(N(Takeoff!B76),"#,##0")&amp;" LF  →  "&amp;TEXT(N('Material Takeoff'!G120),"0")&amp;" sheets")</f>
        <v/>
      </c>
    </row>
    <row r="96" ht="20" customHeight="1" s="140">
      <c r="A96" s="274" t="inlineStr">
        <is>
          <t>Gravel stop cleat</t>
        </is>
      </c>
      <c r="B96" s="189">
        <f>IFERROR(IF(OR(Takeoff!B103="",N(Takeoff!F103)=0),"",Takeoff!B103/Takeoff!F103),"")</f>
        <v/>
      </c>
      <c r="C96" s="212">
        <f>IFERROR(IF('Material Takeoff'!G125="","",'Material Takeoff'!G125),"")</f>
        <v/>
      </c>
      <c r="D96" s="169" t="inlineStr">
        <is>
          <t>sheet</t>
        </is>
      </c>
      <c r="E96" s="329">
        <f>IF(OR(C96="NA",C96="",N(C96)=0),"",IFERROR(IF(VLOOKUP("Gravel stop cleat",'Bid Products'!$A$4:$D$60,4,FALSE())="","",VLOOKUP("Gravel stop cleat",'Bid Products'!$A$4:$D$60,4,FALSE())),""))</f>
        <v/>
      </c>
      <c r="F96" s="455">
        <f>IF(OR(C96="NA",C96="",E96=""),"",C96*E96)</f>
        <v/>
      </c>
    </row>
    <row r="97" ht="32" customHeight="1" s="140">
      <c r="A97" s="439">
        <f>IF(N(Takeoff!E103)=0,"no stretch-out set yet","Face is over 3½ in., so this piece gets a cleat.  48 ÷ "&amp;TEXT(N(Takeoff!E103),"0.##")&amp;" in. stretch-out = "&amp;TEXT(ROUNDDOWN(48/Takeoff!E103,0),"0")&amp;" strips x 10 ft = "&amp;TEXT(Takeoff!F103,"0")&amp;" ft a sheet.   "&amp;TEXT(N(Takeoff!B103),"#,##0")&amp;" LF  →  "&amp;TEXT(N('Material Takeoff'!G125),"0")&amp;" sheets")</f>
        <v/>
      </c>
    </row>
    <row r="98" ht="20" customHeight="1" s="140">
      <c r="A98" s="274" t="inlineStr">
        <is>
          <t>Counter flashing metal</t>
        </is>
      </c>
      <c r="B98" s="189">
        <f>IF(AND(N(Takeoff!B90)=0,N(Takeoff!B111)=0),"NA",IFERROR(IF('Material Takeoff'!B121="","",'Material Takeoff'!B121),""))</f>
        <v/>
      </c>
      <c r="C98" s="212">
        <f>IF(AND(N(Takeoff!B90)=0,N(Takeoff!B111)=0),"NA",IFERROR(IF('Material Takeoff'!G121="","",'Material Takeoff'!G121),""))</f>
        <v/>
      </c>
      <c r="D98" s="169" t="inlineStr">
        <is>
          <t>sheet / LF</t>
        </is>
      </c>
      <c r="E98" s="329">
        <f>IF(OR(C98="NA",C98="",N(C98)=0),"",IFERROR(IF(VLOOKUP("Counter flashing metal",'Bid Products'!$A$4:$D$60,4,FALSE())="","",VLOOKUP("Counter flashing metal",'Bid Products'!$A$4:$D$60,4,FALSE())),""))</f>
        <v/>
      </c>
      <c r="F98" s="455">
        <f>IF(OR(C98="NA",C98="",E98=""),"",C98*E98)</f>
        <v/>
      </c>
    </row>
    <row r="99" ht="32" customHeight="1" s="140">
      <c r="A99" s="439">
        <f>IF(AND(N(Takeoff!B90)=0,N(Takeoff!B111)=0),"NA — every wall facet on this roof is terminated in E2 GRAVEL STOP. The check on the Takeoff (F · row 1) reads OK, which means no facet is left without a termination. So there is no counter flashing on this job.",IF(N(MAX(Takeoff!C82:C94))=0,"no stretch-out set yet","Each run rounds up to its own sheet, then they add up.  48 ÷ "&amp;TEXT(N(MAX(Takeoff!C82:C94)),"0.##")&amp;" in. stretch-out = "&amp;TEXT(ROUNDDOWN(48/MAX(Takeoff!C82:C94),0),"0")&amp;" strips x 10 ft = "&amp;TEXT((ROUNDDOWN(48/MAX(Takeoff!C82:C94),0)*10),"0")&amp;" ft a sheet.   "&amp;TEXT(N(Takeoff!B90),"#,##0")&amp;" LF  →  "&amp;TEXT(N('Material Takeoff'!G121),"0")&amp;" sheets"))</f>
        <v/>
      </c>
    </row>
    <row r="100" ht="20" customHeight="1" s="140">
      <c r="A100" s="274" t="inlineStr">
        <is>
          <t>Gutter metal</t>
        </is>
      </c>
      <c r="B100" s="189">
        <f>IF(N(Takeoff!B95)=0,"NA",IFERROR(IF(OR(Takeoff!B95="",N(Takeoff!E95)=0),"",Takeoff!B95/Takeoff!E95),""))</f>
        <v/>
      </c>
      <c r="C100" s="212">
        <f>IF(N(Takeoff!B95)=0,"NA",IFERROR(IF('Material Takeoff'!G123="","",'Material Takeoff'!G123),""))</f>
        <v/>
      </c>
      <c r="D100" s="169" t="inlineStr">
        <is>
          <t>sheet / LF</t>
        </is>
      </c>
      <c r="E100" s="329">
        <f>IF(OR(C100="NA",C100="",N(C100)=0),"",IFERROR(IF(VLOOKUP("Gutter metal",'Bid Products'!$A$4:$D$60,4,FALSE())="","",VLOOKUP("Gutter metal",'Bid Products'!$A$4:$D$60,4,FALSE())),""))</f>
        <v/>
      </c>
      <c r="F100" s="455">
        <f>IF(OR(C100="NA",C100="",E100=""),"",C100*E100)</f>
        <v/>
      </c>
    </row>
    <row r="101" ht="32" customHeight="1" s="140">
      <c r="A101" s="439">
        <f>IF(N(Takeoff!B95)=0,"NA — no gutters on this job. A gutter exists only where it is tagged on the takeoff.",IF(N(Takeoff!C95)=0,"no stretch-out set yet","48 ÷ "&amp;TEXT(N(Takeoff!C95),"0.##")&amp;" in. stretch-out = "&amp;TEXT(ROUNDDOWN(48/Takeoff!C95,0),"0")&amp;" strips x 10 ft = "&amp;TEXT(N(Takeoff!E95),"0")&amp;" ft a sheet.   "&amp;TEXT(N(Takeoff!B95),"#,##0")&amp;" LF  ÷ "&amp;TEXT(N(Takeoff!E95),"0")&amp;"  =  "&amp;TEXT(N(Takeoff!B95)/N(Takeoff!E95),"0.00")&amp;"  →  "&amp;TEXT(N('Material Takeoff'!G123),"0")&amp;" sheets"))</f>
        <v/>
      </c>
    </row>
    <row r="102" ht="20" customHeight="1" s="140">
      <c r="A102" s="274" t="inlineStr">
        <is>
          <t>Downspout metal</t>
        </is>
      </c>
      <c r="B102" s="189">
        <f>IFERROR(IF(OR(Takeoff!B94="",N(Takeoff!E94)=0),"",Takeoff!B94/Takeoff!E94),"")</f>
        <v/>
      </c>
      <c r="C102" s="212">
        <f>IFERROR(IF('Material Takeoff'!G122="","",'Material Takeoff'!G122),"")</f>
        <v/>
      </c>
      <c r="D102" s="169" t="inlineStr">
        <is>
          <t>sheet / LF</t>
        </is>
      </c>
      <c r="E102" s="329">
        <f>IF(OR(C102="NA",C102="",N(C102)=0),"",IFERROR(IF(VLOOKUP("Downspout metal",'Bid Products'!$A$4:$D$60,4,FALSE())="","",VLOOKUP("Downspout metal",'Bid Products'!$A$4:$D$60,4,FALSE())),""))</f>
        <v/>
      </c>
      <c r="F102" s="455">
        <f>IF(OR(C102="NA",C102="",E102=""),"",C102*E102)</f>
        <v/>
      </c>
    </row>
    <row r="103" ht="32" customHeight="1" s="140">
      <c r="A103" s="439">
        <f>IF(N(Takeoff!C94)=0,"no stretch-out set yet","48 ÷ "&amp;TEXT(N(Takeoff!C94),"0.##")&amp;" in. stretch-out = "&amp;TEXT(ROUNDDOWN(48/Takeoff!C94,0),"0")&amp;" strips x 10 ft = "&amp;TEXT(N(Takeoff!E94),"0")&amp;" ft a sheet.   "&amp;TEXT(N(Takeoff!B94),"#,##0")&amp;" LF  ÷ "&amp;TEXT(N(Takeoff!E94),"0")&amp;"  =  "&amp;TEXT(N(Takeoff!B94)/N(Takeoff!E94),"0.00")&amp;"  →  "&amp;TEXT(N('Material Takeoff'!G122),"0")&amp;" sheets")</f>
        <v/>
      </c>
    </row>
    <row r="104" ht="20" customHeight="1" s="140">
      <c r="A104" s="274" t="inlineStr">
        <is>
          <t>Scuppers</t>
        </is>
      </c>
      <c r="B104" s="189" t="n"/>
      <c r="C104" s="212">
        <f>IFERROR(IF('Material Takeoff'!B130="","",'Material Takeoff'!B130),"")</f>
        <v/>
      </c>
      <c r="D104" s="169" t="inlineStr">
        <is>
          <t>ea</t>
        </is>
      </c>
      <c r="E104" s="329">
        <f>IF(OR(C104="NA",C104="",N(C104)=0),"",IFERROR(IF(VLOOKUP("Scuppers",'Bid Products'!$A$4:$D$60,4,FALSE())="","",VLOOKUP("Scuppers",'Bid Products'!$A$4:$D$60,4,FALSE())),""))</f>
        <v/>
      </c>
      <c r="F104" s="455">
        <f>IF(OR(C104="NA",C104="",E104=""),"",C104*E104)</f>
        <v/>
      </c>
    </row>
    <row r="105" ht="32" customHeight="1" s="140">
      <c r="A105" s="439">
        <f>"Price per each is a FINAL number — material, labor, overhead and profit are already in it. Do NOT mark it up.   It sits here and not on the Labor page so it stays tied to the takeoff count and cannot get missed."</f>
        <v/>
      </c>
    </row>
    <row r="106" ht="20" customHeight="1" s="140">
      <c r="A106" s="274" t="inlineStr">
        <is>
          <t>Collector heads</t>
        </is>
      </c>
      <c r="B106" s="189" t="n"/>
      <c r="C106" s="212">
        <f>IFERROR(IF('Material Takeoff'!B131="","",'Material Takeoff'!B131),"")</f>
        <v/>
      </c>
      <c r="D106" s="169" t="inlineStr">
        <is>
          <t>ea</t>
        </is>
      </c>
      <c r="E106" s="329">
        <f>IF(OR(C106="NA",C106="",N(C106)=0),"",IFERROR(IF(VLOOKUP("Collector heads",'Bid Products'!$A$4:$D$60,4,FALSE())="","",VLOOKUP("Collector heads",'Bid Products'!$A$4:$D$60,4,FALSE())),""))</f>
        <v/>
      </c>
      <c r="F106" s="455">
        <f>IF(OR(C106="NA",C106="",E106=""),"",C106*E106)</f>
        <v/>
      </c>
    </row>
    <row r="107" ht="32" customHeight="1" s="140">
      <c r="A107" s="439">
        <f>"Price per each is a FINAL number — material, labor, overhead and profit are already in it. Do NOT mark it up.   It sits here and not on the Labor page so it stays tied to the takeoff count and cannot get missed."</f>
        <v/>
      </c>
    </row>
    <row r="108" ht="8" customHeight="1" s="140">
      <c r="A108" s="348" t="n"/>
      <c r="B108" s="348" t="n"/>
      <c r="C108" s="348" t="n"/>
      <c r="D108" s="348" t="n"/>
      <c r="E108" s="348" t="n"/>
      <c r="F108" s="348" t="n"/>
      <c r="G108" s="348" t="n"/>
      <c r="H108" s="348" t="n"/>
      <c r="I108" s="348" t="n"/>
      <c r="J108" s="348" t="n"/>
      <c r="K108" s="348" t="n"/>
      <c r="L108" s="348" t="n"/>
      <c r="M108" s="348" t="n"/>
    </row>
    <row r="109" ht="22" customHeight="1" s="140">
      <c r="A109" s="143" t="inlineStr">
        <is>
          <t>WALL BLOCKING &amp; SHEATHING</t>
        </is>
      </c>
    </row>
    <row r="110" ht="20" customHeight="1" s="140">
      <c r="A110" s="165" t="inlineStr">
        <is>
          <t>Item</t>
        </is>
      </c>
      <c r="B110" s="165" t="inlineStr">
        <is>
          <t>RAW  (before rounding)</t>
        </is>
      </c>
      <c r="C110" s="165" t="inlineStr">
        <is>
          <t>Qty</t>
        </is>
      </c>
      <c r="D110" s="165" t="inlineStr">
        <is>
          <t>Unit</t>
        </is>
      </c>
      <c r="E110" s="165" t="inlineStr">
        <is>
          <t>Unit $</t>
        </is>
      </c>
      <c r="F110" s="165" t="inlineStr">
        <is>
          <t>Line Total</t>
        </is>
      </c>
    </row>
    <row r="111" ht="20" customHeight="1" s="140">
      <c r="A111" s="274" t="inlineStr">
        <is>
          <t>2 x 8 nailer</t>
        </is>
      </c>
      <c r="B111" s="189">
        <f>IFERROR(IF('Material Takeoff'!F166="","",'Material Takeoff'!F166),"")</f>
        <v/>
      </c>
      <c r="C111" s="212">
        <f>IFERROR(IF('Material Takeoff'!G166="","",'Material Takeoff'!G166),"")</f>
        <v/>
      </c>
      <c r="D111" s="169" t="inlineStr">
        <is>
          <t>LF</t>
        </is>
      </c>
      <c r="E111" s="329">
        <f>IF(OR(C111="NA",C111="",N(C111)=0),"",IFERROR(IF(VLOOKUP("2 x 8 nailer",'Bid Products'!$A$4:$D$60,4,FALSE())="","",VLOOKUP("2 x 8 nailer",'Bid Products'!$A$4:$D$60,4,FALSE())),""))</f>
        <v/>
      </c>
      <c r="F111" s="455">
        <f>IF(OR(C111="NA",C111="",E111=""),"",C111*E111)</f>
        <v/>
      </c>
    </row>
    <row r="112" ht="32" customHeight="1" s="140">
      <c r="A112" s="439">
        <f>"The whole perimeter, one continuous nailer.   "&amp;TEXT(N(Takeoff!I46),"#,##0")&amp;" LF.   Concrete walls, so the membrane and the base flashing need wood to bite into."</f>
        <v/>
      </c>
    </row>
    <row r="113" ht="20" customHeight="1" s="140">
      <c r="A113" s="274" t="inlineStr">
        <is>
          <t>7/16" OSB  —  wall face</t>
        </is>
      </c>
      <c r="B113" s="189">
        <f>IFERROR(IF('Material Takeoff'!F167="","",'Material Takeoff'!F167),"")</f>
        <v/>
      </c>
      <c r="C113" s="212">
        <f>IFERROR(IF('Material Takeoff'!G167="","",'Material Takeoff'!G167),"")</f>
        <v/>
      </c>
      <c r="D113" s="169" t="inlineStr">
        <is>
          <t>sheet</t>
        </is>
      </c>
      <c r="E113" s="329">
        <f>IF(OR(C113="NA",C113="",N(C113)=0),"",IFERROR(IF(VLOOKUP("7/16"" OSB  —  wall face",'Bid Products'!$A$4:$D$60,4,FALSE())="","",VLOOKUP("7/16"" OSB  —  wall face",'Bid Products'!$A$4:$D$60,4,FALSE())),""))</f>
        <v/>
      </c>
      <c r="F113" s="455">
        <f>IF(OR(C113="NA",C113="",E113=""),"",C113*E113)</f>
        <v/>
      </c>
    </row>
    <row r="114" ht="32" customHeight="1" s="140">
      <c r="A114" s="439">
        <f>"Wall face "&amp;TEXT(N(Takeoff!H46),"#,##0")&amp;" sf  ÷ 32 sf a sheet  =  "&amp;TEXT(N('Material Takeoff'!G167),"0")&amp;" sheets of 7/16 in. OSB."</f>
        <v/>
      </c>
    </row>
    <row r="115" ht="20" customHeight="1" s="140">
      <c r="A115" s="274" t="inlineStr">
        <is>
          <t>Fasteners  3" #14  —  blocking &amp; sheathing</t>
        </is>
      </c>
      <c r="B115" s="189">
        <f>IFERROR(IF('Material Takeoff'!F172="","",'Material Takeoff'!F172),"")</f>
        <v/>
      </c>
      <c r="C115" s="212">
        <f>IFERROR(IF('Material Takeoff'!G172="","",'Material Takeoff'!G172),"")</f>
        <v/>
      </c>
      <c r="D115" s="169" t="inlineStr">
        <is>
          <t>box</t>
        </is>
      </c>
      <c r="E115" s="329">
        <f>IF(OR(C115="NA",C115="",N(C115)=0),"",IFERROR(IF(VLOOKUP("Fasteners  3"" #14  —  blocking &amp; sheathing",'Bid Products'!$A$4:$D$60,4,FALSE())="","",VLOOKUP("Fasteners  3"" #14  —  blocking &amp; sheathing",'Bid Products'!$A$4:$D$60,4,FALSE())),""))</f>
        <v/>
      </c>
      <c r="F115" s="455">
        <f>IF(OR(C115="NA",C115="",E115=""),"",C115*E115)</f>
        <v/>
      </c>
    </row>
    <row r="116" ht="32" customHeight="1" s="140">
      <c r="A116" s="439">
        <f>"ONE SCREW, ONE BUY — the nailer and the OSB take the same 3 in. #14, so they add up before anything rounds.   Nailer "&amp;TEXT(N(Takeoff!I46),"#,##0")&amp;" LF at 1 ft o.c. = "&amp;TEXT(N('Material Takeoff'!F169),"#,##0")&amp;"   +   30% burn on the concrete = "&amp;TEXT(N('Material Takeoff'!F170),"#,##0")&amp;"   +   OSB "&amp;TEXT(N('Material Takeoff'!G167),"0")&amp;" boards x 16 = "&amp;TEXT(N('Material Takeoff'!F171),"#,##0")&amp;"   =   "&amp;TEXT(N('Material Takeoff'!F172),"#,##0")&amp;" screws, "&amp;TEXT(N('Material Takeoff'!G172),"0")&amp;" box.   The burn factor rides on the nailer screws only — those are the ones going into concrete."</f>
        <v/>
      </c>
    </row>
    <row r="117" ht="8" customHeight="1" s="140">
      <c r="A117" s="274" t="n"/>
      <c r="B117" s="189" t="n"/>
      <c r="C117" s="212" t="n"/>
      <c r="D117" s="169" t="n"/>
      <c r="E117" s="329" t="n"/>
      <c r="F117" s="330" t="n"/>
    </row>
    <row r="118" ht="8" customHeight="1" s="140">
      <c r="A118" s="275" t="n"/>
    </row>
    <row r="119" ht="8" customHeight="1" s="140">
      <c r="A119" s="348" t="n"/>
      <c r="B119" s="348" t="n"/>
      <c r="C119" s="348" t="n"/>
      <c r="D119" s="348" t="n"/>
      <c r="E119" s="348" t="n"/>
      <c r="F119" s="348" t="n"/>
      <c r="G119" s="348" t="n"/>
      <c r="H119" s="348" t="n"/>
      <c r="I119" s="348" t="n"/>
      <c r="J119" s="348" t="n"/>
      <c r="K119" s="348" t="n"/>
      <c r="L119" s="348" t="n"/>
      <c r="M119" s="348" t="n"/>
    </row>
    <row r="120" ht="22" customHeight="1" s="140">
      <c r="A120" s="143" t="inlineStr">
        <is>
          <t>DELIVERY</t>
        </is>
      </c>
      <c r="G120" s="348" t="n"/>
      <c r="H120" s="348" t="n"/>
      <c r="I120" s="348" t="n"/>
      <c r="J120" s="348" t="n"/>
      <c r="K120" s="348" t="n"/>
      <c r="L120" s="348" t="n"/>
      <c r="M120" s="348" t="n"/>
    </row>
    <row r="121" ht="20" customHeight="1" s="140">
      <c r="A121" s="165" t="inlineStr">
        <is>
          <t>Item</t>
        </is>
      </c>
      <c r="B121" s="165" t="inlineStr">
        <is>
          <t>RAW  (before rounding)</t>
        </is>
      </c>
      <c r="C121" s="165" t="inlineStr">
        <is>
          <t>Qty</t>
        </is>
      </c>
      <c r="D121" s="165" t="inlineStr">
        <is>
          <t>Unit</t>
        </is>
      </c>
      <c r="E121" s="165" t="inlineStr">
        <is>
          <t>Unit $</t>
        </is>
      </c>
      <c r="F121" s="165" t="inlineStr">
        <is>
          <t>Line Total</t>
        </is>
      </c>
      <c r="G121" s="348" t="n"/>
      <c r="H121" s="348" t="n"/>
      <c r="I121" s="348" t="n"/>
      <c r="J121" s="348" t="n"/>
      <c r="K121" s="348" t="n"/>
      <c r="L121" s="348" t="n"/>
      <c r="M121" s="348" t="n"/>
    </row>
    <row r="122" ht="20" customHeight="1" s="140">
      <c r="A122" s="274" t="inlineStr">
        <is>
          <t>Material delivery</t>
        </is>
      </c>
      <c r="B122" s="189">
        <f>IFERROR(IF('Material Takeoff'!F179="","",'Material Takeoff'!F179),"")</f>
        <v/>
      </c>
      <c r="C122" s="212">
        <f>IFERROR(IF('Material Takeoff'!G179="","",'Material Takeoff'!G179),"")</f>
        <v/>
      </c>
      <c r="D122" s="169" t="inlineStr">
        <is>
          <t>delivery</t>
        </is>
      </c>
      <c r="E122" s="329">
        <f>IF(OR(C122="NA",C122="",N(C122)=0),"",IFERROR(IF(VLOOKUP("Material delivery",'Bid Products'!$A$4:$D$60,4,FALSE())="","",VLOOKUP("Material delivery",'Bid Products'!$A$4:$D$60,4,FALSE())),""))</f>
        <v/>
      </c>
      <c r="F122" s="455">
        <f>IF(OR(C122="NA",C122="",E122=""),"",C122*E122)</f>
        <v/>
      </c>
    </row>
    <row r="123" ht="32" customHeight="1" s="140">
      <c r="A123" s="439">
        <f>"One delivery every 50 squares.   "&amp;TEXT(N('Material Takeoff'!B179),"0")&amp;" sq  ÷ 50  =  "&amp;TEXT(N('Material Takeoff'!G179),"0")&amp;" deliveries."</f>
        <v/>
      </c>
    </row>
    <row r="124" ht="20" customHeight="1" s="140">
      <c r="A124" s="274" t="inlineStr">
        <is>
          <t>Metal delivery</t>
        </is>
      </c>
      <c r="B124" s="189">
        <f>IFERROR(IF('Material Takeoff'!F180="","",'Material Takeoff'!F180),"")</f>
        <v/>
      </c>
      <c r="C124" s="212">
        <f>IFERROR(IF('Material Takeoff'!G180="","",'Material Takeoff'!G180),"")</f>
        <v/>
      </c>
      <c r="D124" s="169" t="inlineStr">
        <is>
          <t>delivery</t>
        </is>
      </c>
      <c r="E124" s="329">
        <f>IF(OR(C124="NA",C124="",N(C124)=0),"",IFERROR(IF(VLOOKUP("Metal delivery",'Bid Products'!$A$4:$D$60,4,FALSE())="","",VLOOKUP("Metal delivery",'Bid Products'!$A$4:$D$60,4,FALSE())),""))</f>
        <v/>
      </c>
      <c r="F124" s="455">
        <f>IF(OR(C124="NA",C124="",E124=""),"",C124*E124)</f>
        <v/>
      </c>
      <c r="G124" s="348" t="n"/>
      <c r="H124" s="348" t="n"/>
      <c r="I124" s="348" t="n"/>
      <c r="J124" s="348" t="n"/>
      <c r="K124" s="348" t="n"/>
      <c r="L124" s="348" t="n"/>
      <c r="M124" s="348" t="n"/>
    </row>
    <row r="125" ht="32" customHeight="1" s="140">
      <c r="A125" s="439">
        <f>"Normally ONE delivery covers the metal — it all goes on one truck. This job is in Houston, so it takes "&amp;TEXT(N('Material Takeoff'!G180),"0")&amp;". Delivery is on every bid, never left off."</f>
        <v/>
      </c>
    </row>
    <row r="126" ht="8" customHeight="1" s="140">
      <c r="A126" s="211" t="n"/>
      <c r="B126" s="169" t="n"/>
      <c r="C126" s="169" t="n"/>
      <c r="D126" s="169" t="n"/>
      <c r="E126" s="224" t="n"/>
      <c r="F126" s="330" t="n"/>
    </row>
    <row r="127" ht="8" customHeight="1" s="140">
      <c r="A127" s="348" t="n"/>
      <c r="B127" s="348" t="n"/>
      <c r="C127" s="348" t="n"/>
      <c r="D127" s="348" t="n"/>
      <c r="E127" s="348" t="n"/>
      <c r="F127" s="348" t="n"/>
      <c r="G127" s="348" t="n"/>
      <c r="H127" s="348" t="n"/>
      <c r="I127" s="348" t="n"/>
      <c r="J127" s="348" t="n"/>
      <c r="K127" s="348" t="n"/>
    </row>
    <row r="128" ht="8" customHeight="1" s="140">
      <c r="A128" s="348" t="n"/>
      <c r="B128" s="348" t="n"/>
      <c r="C128" s="348" t="n"/>
      <c r="D128" s="348" t="n"/>
      <c r="E128" s="348" t="n"/>
      <c r="F128" s="348" t="n"/>
      <c r="G128" s="348" t="n"/>
      <c r="H128" s="348" t="n"/>
      <c r="I128" s="348" t="n"/>
      <c r="J128" s="348" t="n"/>
      <c r="K128" s="348" t="n"/>
    </row>
    <row r="129" ht="32" customHeight="1" s="140">
      <c r="A129" s="439" t="inlineStr">
        <is>
          <t>"Every line above adds into this total by RANGE, not by a typed list of cells. Add a line anywhere in the block and it is in the total automatically."</t>
        </is>
      </c>
    </row>
    <row r="130" ht="22" customHeight="1" s="140">
      <c r="A130" s="219" t="inlineStr">
        <is>
          <t>PURCHASED SUBTOTAL</t>
        </is>
      </c>
      <c r="B130" s="220" t="n"/>
      <c r="C130" s="220" t="n"/>
      <c r="D130" s="220" t="n"/>
      <c r="E130" s="346" t="n"/>
      <c r="F130" s="333">
        <f>IFERROR(SUM(F6:F128),"")</f>
        <v/>
      </c>
    </row>
    <row r="131" ht="8" customHeight="1" s="140">
      <c r="A131" s="348" t="n"/>
      <c r="B131" s="348" t="n"/>
      <c r="C131" s="348" t="n"/>
      <c r="D131" s="348" t="n"/>
      <c r="E131" s="348" t="n"/>
      <c r="F131" s="348" t="n"/>
      <c r="G131" s="348" t="n"/>
      <c r="H131" s="348" t="n"/>
      <c r="I131" s="348" t="n"/>
      <c r="J131" s="348" t="n"/>
      <c r="K131" s="348" t="n"/>
    </row>
    <row r="132" ht="20" customHeight="1" s="140">
      <c r="A132" s="222" t="inlineStr">
        <is>
          <t>MATERIAL SUBTOTAL</t>
        </is>
      </c>
      <c r="B132" s="169" t="n"/>
      <c r="C132" s="169" t="n"/>
      <c r="D132" s="169" t="n"/>
      <c r="E132" s="330" t="n"/>
      <c r="F132" s="334">
        <f>IFERROR(N(F130),"")</f>
        <v/>
      </c>
    </row>
    <row r="133" ht="20" customHeight="1" s="140">
      <c r="A133" s="211" t="inlineStr">
        <is>
          <t>Sales tax  (material only — not scuppers or collector heads)</t>
        </is>
      </c>
      <c r="B133" s="169" t="n"/>
      <c r="C133" s="169" t="n"/>
      <c r="D133" s="169" t="n"/>
      <c r="E133" s="224" t="n">
        <v>0.0825</v>
      </c>
      <c r="F133" s="455">
        <f>IFERROR((N(F132)-N(F104)-N(F106))*N(E133),"")</f>
        <v/>
      </c>
    </row>
    <row r="134" ht="22" customHeight="1" s="140">
      <c r="A134" s="225" t="inlineStr">
        <is>
          <t>MATERIAL TOTAL  (w/ tax)</t>
        </is>
      </c>
      <c r="B134" s="226" t="n"/>
      <c r="C134" s="226" t="n"/>
      <c r="D134" s="226" t="n"/>
      <c r="E134" s="347" t="n"/>
      <c r="F134" s="335">
        <f>IFERROR(N(F132)+N(F133),"")</f>
        <v/>
      </c>
    </row>
    <row r="135" ht="32" customHeight="1" s="140">
      <c r="A135" s="439">
        <f>"Purchased $"&amp;TEXT(N(F130),"#,##0")&amp;" + tax "&amp;TEXT(E133,"0.00%")&amp;" = MATERIAL TOTAL $"&amp;TEXT(N(F132)+N(F133),"#,##0")&amp;".   Shop fabrication is on the Labor page."</f>
        <v/>
      </c>
    </row>
  </sheetData>
  <mergeCells count="60">
    <mergeCell ref="A41:F41"/>
    <mergeCell ref="A16:F16"/>
    <mergeCell ref="A99:F99"/>
    <mergeCell ref="A46:F46"/>
    <mergeCell ref="A66:F66"/>
    <mergeCell ref="A75:F75"/>
    <mergeCell ref="A120:F120"/>
    <mergeCell ref="A105:F105"/>
    <mergeCell ref="A101:F101"/>
    <mergeCell ref="A21:F21"/>
    <mergeCell ref="A86:F86"/>
    <mergeCell ref="A95:F95"/>
    <mergeCell ref="A2:F2"/>
    <mergeCell ref="A71:F71"/>
    <mergeCell ref="A129:F129"/>
    <mergeCell ref="A14:F14"/>
    <mergeCell ref="A116:F116"/>
    <mergeCell ref="A32:F32"/>
    <mergeCell ref="A97:F97"/>
    <mergeCell ref="A135:F135"/>
    <mergeCell ref="A35:F35"/>
    <mergeCell ref="A4:F4"/>
    <mergeCell ref="A62:F62"/>
    <mergeCell ref="A53:F53"/>
    <mergeCell ref="A109:F109"/>
    <mergeCell ref="A91:F91"/>
    <mergeCell ref="A43:F43"/>
    <mergeCell ref="A125:F125"/>
    <mergeCell ref="A28:F28"/>
    <mergeCell ref="A112:F112"/>
    <mergeCell ref="A93:F93"/>
    <mergeCell ref="A13:F13"/>
    <mergeCell ref="A19:F19"/>
    <mergeCell ref="A68:F68"/>
    <mergeCell ref="A9:F9"/>
    <mergeCell ref="A58:F58"/>
    <mergeCell ref="A83:F83"/>
    <mergeCell ref="A34:F34"/>
    <mergeCell ref="A30:F30"/>
    <mergeCell ref="A114:F114"/>
    <mergeCell ref="A77:F77"/>
    <mergeCell ref="A39:F39"/>
    <mergeCell ref="A64:F64"/>
    <mergeCell ref="A73:F73"/>
    <mergeCell ref="A11:F11"/>
    <mergeCell ref="A49:F49"/>
    <mergeCell ref="A51:F51"/>
    <mergeCell ref="A107:F107"/>
    <mergeCell ref="A60:F60"/>
    <mergeCell ref="A36:F36"/>
    <mergeCell ref="A123:F123"/>
    <mergeCell ref="A1:F1"/>
    <mergeCell ref="A103:F103"/>
    <mergeCell ref="A45:F45"/>
    <mergeCell ref="A88:F88"/>
    <mergeCell ref="A78:F78"/>
    <mergeCell ref="A69:F69"/>
    <mergeCell ref="A87:F87"/>
    <mergeCell ref="A7:F7"/>
    <mergeCell ref="A25:F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9"/>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heetView>
  </sheetViews>
  <sheetFormatPr baseColWidth="8" defaultColWidth="8.6796875" defaultRowHeight="15" zeroHeight="0" outlineLevelRow="0"/>
  <cols>
    <col width="30" customWidth="1" style="140" min="1" max="1"/>
    <col width="7" customWidth="1" style="140" min="2" max="2"/>
    <col width="12" customWidth="1" style="140" min="3" max="3"/>
    <col width="10" customWidth="1" style="140" min="4" max="4"/>
    <col width="7" customWidth="1" style="140" min="5" max="5"/>
    <col width="10" customWidth="1" style="140" min="6" max="6"/>
    <col width="8" customWidth="1" style="140" min="7" max="7"/>
    <col width="14" customWidth="1" style="140" min="8" max="8"/>
    <col width="12" customWidth="1" style="140" min="9" max="9"/>
    <col width="13" customWidth="1" style="140" min="10" max="10"/>
    <col width="13" customWidth="1" style="140" min="11" max="11"/>
    <col width="13" customWidth="1" style="140" min="12" max="12"/>
    <col width="15" customWidth="1" style="140" min="13" max="13"/>
  </cols>
  <sheetData>
    <row r="1" ht="24" customHeight="1" s="140">
      <c r="A1" s="468" t="inlineStr">
        <is>
          <t>TPO LABOR   —   MECHANICALLY ATTACHED TPO  ·  TEAR-OFF</t>
        </is>
      </c>
    </row>
    <row r="2" ht="18" customHeight="1" s="140">
      <c r="A2" s="519" t="inlineStr">
        <is>
          <t>One row per trade. Read across: what it costs in labor, what it costs per square, and what travel adds. This page totals TPO ONLY — metal is on its own page.</t>
        </is>
      </c>
    </row>
    <row r="3" ht="8" customHeight="1" s="140"/>
    <row r="4" ht="20" customHeight="1" s="140">
      <c r="A4" s="470" t="inlineStr">
        <is>
          <t>RATES   —   the only cells you set are green</t>
        </is>
      </c>
    </row>
    <row r="5" ht="20" customHeight="1" s="140">
      <c r="A5" s="471" t="inlineStr">
        <is>
          <t>Wage per man / day</t>
        </is>
      </c>
      <c r="B5" s="472" t="n">
        <v>270</v>
      </c>
      <c r="D5" s="520" t="inlineStr">
        <is>
          <t>OUT OF TOWN?</t>
        </is>
      </c>
      <c r="E5" s="473" t="n"/>
      <c r="F5" s="521" t="inlineStr">
        <is>
          <t>N</t>
        </is>
      </c>
    </row>
    <row r="6" ht="20" customHeight="1" s="140">
      <c r="A6" s="471" t="inlineStr">
        <is>
          <t>Overhead margin</t>
        </is>
      </c>
      <c r="B6" s="474" t="n">
        <v>0.5</v>
      </c>
      <c r="D6" s="520">
        <f>IF($F$5="Y","Per diem  $ / man / day","Per diem  $ / man / day  —  not asked, this job is local")</f>
        <v/>
      </c>
      <c r="E6" s="473" t="n"/>
      <c r="F6" s="518" t="n">
        <v>60</v>
      </c>
    </row>
    <row r="7" ht="20" customHeight="1" s="140">
      <c r="A7" s="475" t="inlineStr">
        <is>
          <t>COST PER MAN / DAY</t>
        </is>
      </c>
      <c r="B7" s="476">
        <f>IFERROR(IF(N(B6)=0,"",N(B5)/N(B6)),"")</f>
        <v/>
      </c>
      <c r="C7" s="477" t="n"/>
      <c r="D7" s="520">
        <f>IF($F$5="Y","Hotel  $ / room / night","Hotel  $ / room / night  —  not asked, this job is local")</f>
        <v/>
      </c>
      <c r="E7" s="473" t="n"/>
      <c r="F7" s="518" t="n">
        <v>150</v>
      </c>
    </row>
    <row r="8" ht="20" customHeight="1" s="140">
      <c r="A8" s="475" t="n"/>
      <c r="B8" s="522" t="n"/>
      <c r="C8" s="477" t="n"/>
      <c r="D8" s="520">
        <f>IF($F$5="Y","Travel markup","Travel markup  —  not asked, this job is local")</f>
        <v/>
      </c>
      <c r="E8" s="473" t="n"/>
      <c r="F8" s="503" t="n">
        <v>0.3</v>
      </c>
    </row>
    <row r="9" ht="18" customHeight="1" s="140">
      <c r="A9" s="519">
        <f>"Overhead is a margin, so it DIVIDES:  "&amp;TEXT(N(B5),"$#,##0")&amp;" ÷ "&amp;TEXT(N(B6),"0%")&amp;" = "&amp;TEXT(N(B7),"$#,##0")&amp;" a man a day.   Travel is OFF until OUT OF TOWN says Y — it is "&amp;IF($F$5="Y","Y, travel is ON.","N, travel is OFF.")</f>
        <v/>
      </c>
    </row>
    <row r="10" ht="30" customHeight="1" s="140">
      <c r="A10" s="478" t="inlineStr">
        <is>
          <t>TRADE</t>
        </is>
      </c>
      <c r="B10" s="479" t="inlineStr">
        <is>
          <t>MEN</t>
        </is>
      </c>
      <c r="C10" s="479" t="inlineStr">
        <is>
          <t>CREW $/DAY</t>
        </is>
      </c>
      <c r="D10" s="479" t="inlineStr">
        <is>
          <t>QTY</t>
        </is>
      </c>
      <c r="E10" s="479" t="inlineStr">
        <is>
          <t>UNIT</t>
        </is>
      </c>
      <c r="F10" s="479" t="inlineStr">
        <is>
          <t>PER DAY</t>
        </is>
      </c>
      <c r="G10" s="479" t="inlineStr">
        <is>
          <t>DAYS</t>
        </is>
      </c>
      <c r="H10" s="479" t="inlineStr">
        <is>
          <t>LABOR $</t>
        </is>
      </c>
      <c r="I10" s="479" t="inlineStr">
        <is>
          <t>PRICE PER SQUARE</t>
        </is>
      </c>
      <c r="J10" s="479" t="inlineStr">
        <is>
          <t>PER DIEM</t>
        </is>
      </c>
      <c r="K10" s="479" t="inlineStr">
        <is>
          <t>HOTEL</t>
        </is>
      </c>
      <c r="L10" s="479" t="inlineStr">
        <is>
          <t>TRAVEL MKUP</t>
        </is>
      </c>
      <c r="M10" s="479" t="inlineStr">
        <is>
          <t>TRADE TOTAL</t>
        </is>
      </c>
    </row>
    <row r="11" ht="20" customHeight="1" s="140">
      <c r="A11" s="471" t="inlineStr">
        <is>
          <t xml:space="preserve">  Field</t>
        </is>
      </c>
      <c r="B11" s="480" t="n"/>
      <c r="C11" s="481">
        <f>IFERROR(N(B11)*N('TPO Labor'!$B$7),"")</f>
        <v/>
      </c>
      <c r="D11" s="482">
        <f>IFERROR('Material Takeoff'!G6,"")</f>
        <v/>
      </c>
      <c r="E11" s="477" t="inlineStr">
        <is>
          <t>sq</t>
        </is>
      </c>
      <c r="F11" s="483" t="n"/>
      <c r="G11" s="484">
        <f>IFERROR(IF(N(F11)=0,"",N(D11)/N(F11)),"")</f>
        <v/>
      </c>
      <c r="H11" s="476">
        <f>IFERROR(IF(OR(N(G11)=0,N(C11)=0),"",N(G11)*N(C11)),"")</f>
        <v/>
      </c>
      <c r="I11" s="485">
        <f>IFERROR(IF(N(D11)=0,"",N(H11)/N(D11)),"")</f>
        <v/>
      </c>
      <c r="J11" s="486">
        <f>IFERROR(IF(OR(N(B11)=0,N(G11)=0),"",N(B11)*N(G11)*N('TPO Labor'!$F$6))*IF('TPO Labor'!$F$5="Y",1,0),"")</f>
        <v/>
      </c>
      <c r="K11" s="487">
        <f>IFERROR(IF(OR(N(B11)=0,N(G11)=0),"",ROUNDUP(N(B11)/2,0)*N(G11)*N('TPO Labor'!$F$7))*IF('TPO Labor'!$F$5="Y",1,0),"")</f>
        <v/>
      </c>
      <c r="L11" s="488">
        <f>IFERROR((N(J11)+N(K11))*N('TPO Labor'!$F$8),"")</f>
        <v/>
      </c>
      <c r="M11" s="489">
        <f>IFERROR(N(H11)+N(J11)+N(K11)+N(L11),"")</f>
        <v/>
      </c>
    </row>
    <row r="12" ht="20" customHeight="1" s="140">
      <c r="A12" s="471" t="inlineStr">
        <is>
          <t xml:space="preserve">  Field details</t>
        </is>
      </c>
      <c r="B12" s="480" t="n"/>
      <c r="C12" s="481">
        <f>IFERROR(N(B12)*N('TPO Labor'!$B$7),"")</f>
        <v/>
      </c>
      <c r="D12" s="482">
        <f>IFERROR('Material Takeoff'!G6,"")</f>
        <v/>
      </c>
      <c r="E12" s="477" t="inlineStr">
        <is>
          <t>sq</t>
        </is>
      </c>
      <c r="F12" s="483" t="n"/>
      <c r="G12" s="484">
        <f>IFERROR(IF(N(F12)=0,"",N(D12)/N(F12)),"")</f>
        <v/>
      </c>
      <c r="H12" s="476">
        <f>IFERROR(IF(OR(N(G12)=0,N(C12)=0),"",N(G12)*N(C12)),"")</f>
        <v/>
      </c>
      <c r="I12" s="485">
        <f>IFERROR(IF(N(D12)=0,"",N(H12)/N(D12)),"")</f>
        <v/>
      </c>
      <c r="J12" s="486">
        <f>IFERROR(IF(OR(N(B12)=0,N(G12)=0),"",N(B12)*N(G12)*N('TPO Labor'!$F$6))*IF('TPO Labor'!$F$5="Y",1,0),"")</f>
        <v/>
      </c>
      <c r="K12" s="487">
        <f>IFERROR(IF(OR(N(B12)=0,N(G12)=0),"",ROUNDUP(N(B12)/2,0)*N(G12)*N('TPO Labor'!$F$7))*IF('TPO Labor'!$F$5="Y",1,0),"")</f>
        <v/>
      </c>
      <c r="L12" s="488">
        <f>IFERROR((N(J12)+N(K12))*N('TPO Labor'!$F$8),"")</f>
        <v/>
      </c>
      <c r="M12" s="489">
        <f>IFERROR(N(H12)+N(J12)+N(K12)+N(L12),"")</f>
        <v/>
      </c>
    </row>
    <row r="13" ht="20" customHeight="1" s="140">
      <c r="A13" s="471" t="inlineStr">
        <is>
          <t xml:space="preserve">  Walls</t>
        </is>
      </c>
      <c r="B13" s="480" t="n"/>
      <c r="C13" s="481">
        <f>IFERROR(N(B13)*N('TPO Labor'!$B$7),"")</f>
        <v/>
      </c>
      <c r="D13" s="482">
        <f>IFERROR('Material Takeoff'!G8,"")</f>
        <v/>
      </c>
      <c r="E13" s="477" t="inlineStr">
        <is>
          <t>sq</t>
        </is>
      </c>
      <c r="F13" s="483" t="n"/>
      <c r="G13" s="484">
        <f>IFERROR(IF(N(F13)=0,"",N(D13)/N(F13)),"")</f>
        <v/>
      </c>
      <c r="H13" s="476">
        <f>IFERROR(IF(OR(N(G13)=0,N(C13)=0),"",N(G13)*N(C13)),"")</f>
        <v/>
      </c>
      <c r="I13" s="485">
        <f>IFERROR(IF(N(D13)=0,"",N(H13)/N(D13)),"")</f>
        <v/>
      </c>
      <c r="J13" s="486">
        <f>IFERROR(IF(OR(N(B13)=0,N(G13)=0),"",N(B13)*N(G13)*N('TPO Labor'!$F$6))*IF('TPO Labor'!$F$5="Y",1,0),"")</f>
        <v/>
      </c>
      <c r="K13" s="487">
        <f>IFERROR(IF(OR(N(B13)=0,N(G13)=0),"",ROUNDUP(N(B13)/2,0)*N(G13)*N('TPO Labor'!$F$7))*IF('TPO Labor'!$F$5="Y",1,0),"")</f>
        <v/>
      </c>
      <c r="L13" s="488">
        <f>IFERROR((N(J13)+N(K13))*N('TPO Labor'!$F$8),"")</f>
        <v/>
      </c>
      <c r="M13" s="489">
        <f>IFERROR(N(H13)+N(J13)+N(K13)+N(L13),"")</f>
        <v/>
      </c>
    </row>
    <row r="14" ht="20" customHeight="1" s="140">
      <c r="A14" s="471" t="inlineStr">
        <is>
          <t xml:space="preserve">  Wall details</t>
        </is>
      </c>
      <c r="B14" s="480" t="n"/>
      <c r="C14" s="481">
        <f>IFERROR(N(B14)*N('TPO Labor'!$B$7),"")</f>
        <v/>
      </c>
      <c r="D14" s="482">
        <f>IFERROR('Material Takeoff'!G8,"")</f>
        <v/>
      </c>
      <c r="E14" s="477" t="inlineStr">
        <is>
          <t>sq</t>
        </is>
      </c>
      <c r="F14" s="483" t="n"/>
      <c r="G14" s="484">
        <f>IFERROR(IF(N(F14)=0,"",N(D14)/N(F14)),"")</f>
        <v/>
      </c>
      <c r="H14" s="476">
        <f>IFERROR(IF(OR(N(G14)=0,N(C14)=0),"",N(G14)*N(C14)),"")</f>
        <v/>
      </c>
      <c r="I14" s="485">
        <f>IFERROR(IF(N(D14)=0,"",N(H14)/N(D14)),"")</f>
        <v/>
      </c>
      <c r="J14" s="486">
        <f>IFERROR(IF(OR(N(B14)=0,N(G14)=0),"",N(B14)*N(G14)*N('TPO Labor'!$F$6))*IF('TPO Labor'!$F$5="Y",1,0),"")</f>
        <v/>
      </c>
      <c r="K14" s="487">
        <f>IFERROR(IF(OR(N(B14)=0,N(G14)=0),"",ROUNDUP(N(B14)/2,0)*N(G14)*N('TPO Labor'!$F$7))*IF('TPO Labor'!$F$5="Y",1,0),"")</f>
        <v/>
      </c>
      <c r="L14" s="488">
        <f>IFERROR((N(J14)+N(K14))*N('TPO Labor'!$F$8),"")</f>
        <v/>
      </c>
      <c r="M14" s="489">
        <f>IFERROR(N(H14)+N(J14)+N(K14)+N(L14),"")</f>
        <v/>
      </c>
    </row>
    <row r="15" ht="20" customHeight="1" s="140">
      <c r="A15" s="471" t="inlineStr">
        <is>
          <t xml:space="preserve">  Curb flashing</t>
        </is>
      </c>
      <c r="B15" s="477" t="n"/>
      <c r="C15" s="477" t="n"/>
      <c r="D15" s="482">
        <f>IFERROR('Material Takeoff'!B137,"")</f>
        <v/>
      </c>
      <c r="E15" s="477" t="inlineStr">
        <is>
          <t>LF</t>
        </is>
      </c>
      <c r="F15" s="477" t="n"/>
      <c r="G15" s="477" t="n"/>
      <c r="H15" s="476">
        <f>IFERROR(IF(OR(N(D15)=0,N(I15)=0),"",N(D15)*N(I15)),"")</f>
        <v/>
      </c>
      <c r="I15" s="472" t="n"/>
      <c r="J15" s="477" t="n"/>
      <c r="K15" s="477" t="n"/>
      <c r="L15" s="477" t="n"/>
      <c r="M15" s="489">
        <f>IFERROR(N(H15),"")</f>
        <v/>
      </c>
    </row>
    <row r="16" ht="20" customHeight="1" s="140">
      <c r="A16" s="471" t="inlineStr">
        <is>
          <t xml:space="preserve">  Pitch pans</t>
        </is>
      </c>
      <c r="B16" s="477" t="n"/>
      <c r="C16" s="477" t="n"/>
      <c r="D16" s="482">
        <f>IFERROR('Material Takeoff'!B133,"")</f>
        <v/>
      </c>
      <c r="E16" s="477" t="inlineStr">
        <is>
          <t>ea</t>
        </is>
      </c>
      <c r="F16" s="477" t="n"/>
      <c r="G16" s="477" t="n"/>
      <c r="H16" s="476">
        <f>IFERROR(IF(OR(N(D16)=0,N(I16)=0),"",N(D16)*N(I16)),"")</f>
        <v/>
      </c>
      <c r="I16" s="472" t="n"/>
      <c r="J16" s="477" t="n"/>
      <c r="K16" s="477" t="n"/>
      <c r="L16" s="477" t="n"/>
      <c r="M16" s="489">
        <f>IFERROR(N(H16),"")</f>
        <v/>
      </c>
    </row>
    <row r="17" ht="20" customHeight="1" s="140">
      <c r="A17" s="471" t="inlineStr">
        <is>
          <t xml:space="preserve">  Pipe boots</t>
        </is>
      </c>
      <c r="B17" s="477" t="n"/>
      <c r="C17" s="477" t="n"/>
      <c r="D17" s="482">
        <f>IFERROR('Material Takeoff'!B134,"")</f>
        <v/>
      </c>
      <c r="E17" s="477" t="inlineStr">
        <is>
          <t>ea</t>
        </is>
      </c>
      <c r="F17" s="477" t="n"/>
      <c r="G17" s="477" t="n"/>
      <c r="H17" s="476">
        <f>IFERROR(IF(OR(N(D17)=0,N(I17)=0),"",N(D17)*N(I17)),"")</f>
        <v/>
      </c>
      <c r="I17" s="472" t="n"/>
      <c r="J17" s="477" t="n"/>
      <c r="K17" s="477" t="n"/>
      <c r="L17" s="477" t="n"/>
      <c r="M17" s="489">
        <f>IFERROR(N(H17),"")</f>
        <v/>
      </c>
    </row>
    <row r="18" ht="24" customHeight="1" s="140">
      <c r="A18" s="490" t="inlineStr">
        <is>
          <t>TPO LABOR  —  PAGE TOTAL</t>
        </is>
      </c>
      <c r="B18" s="498" t="n"/>
      <c r="C18" s="498" t="n"/>
      <c r="D18" s="498" t="n"/>
      <c r="E18" s="498" t="n"/>
      <c r="F18" s="498" t="n"/>
      <c r="G18" s="499" t="n"/>
      <c r="H18" s="492">
        <f>IFERROR(SUM(H11:H17),"")</f>
        <v/>
      </c>
      <c r="I18" s="513">
        <f>IFERROR(IF((N('Material Takeoff'!G6)+N('Material Takeoff'!G8))=0,"",N(H18)/(N('Material Takeoff'!G6)+N('Material Takeoff'!G8))),"")</f>
        <v/>
      </c>
      <c r="J18" s="494">
        <f>IFERROR(SUM(J11:J17),"")</f>
        <v/>
      </c>
      <c r="K18" s="495">
        <f>IFERROR(SUM(K11:K17),"")</f>
        <v/>
      </c>
      <c r="L18" s="496">
        <f>IFERROR(SUM(L11:L17),"")</f>
        <v/>
      </c>
      <c r="M18" s="497">
        <f>IFERROR(SUM(M11:M17),"")</f>
        <v/>
      </c>
    </row>
    <row r="19" ht="18" customHeight="1" s="140">
      <c r="A19" s="519" t="inlineStr">
        <is>
          <t>Yellow = labor.  Green = per diem.  Blue = hotel.  Orange = travel markup.  Purple = what that sub gets paid, all in.  Every colour adds straight down its own column.</t>
        </is>
      </c>
    </row>
  </sheetData>
  <mergeCells count="10">
    <mergeCell ref="D8:E8"/>
    <mergeCell ref="D6:E6"/>
    <mergeCell ref="A19:M19"/>
    <mergeCell ref="A1:M1"/>
    <mergeCell ref="D7:E7"/>
    <mergeCell ref="A18:G18"/>
    <mergeCell ref="D5:E5"/>
    <mergeCell ref="A9:M9"/>
    <mergeCell ref="A4:M4"/>
    <mergeCell ref="A2:M2"/>
  </mergeCells>
  <dataValidations count="1">
    <dataValidation sqref="F5" showDropDown="0" showInputMessage="0" showErrorMessage="0" allowBlank="1" type="list">
      <formula1>Lists!$J$5:$J$6</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12"/>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heetView>
  </sheetViews>
  <sheetFormatPr baseColWidth="8" defaultColWidth="8.6796875" defaultRowHeight="15" zeroHeight="0" outlineLevelRow="0"/>
  <cols>
    <col width="30" customWidth="1" style="140" min="1" max="1"/>
    <col width="7" customWidth="1" style="140" min="2" max="2"/>
    <col width="12" customWidth="1" style="140" min="3" max="3"/>
    <col width="10" customWidth="1" style="140" min="4" max="4"/>
    <col width="7" customWidth="1" style="140" min="5" max="5"/>
    <col width="10" customWidth="1" style="140" min="6" max="6"/>
    <col width="8" customWidth="1" style="140" min="7" max="7"/>
    <col width="14" customWidth="1" style="140" min="8" max="8"/>
    <col width="12" customWidth="1" style="140" min="9" max="9"/>
    <col width="13" customWidth="1" style="140" min="10" max="10"/>
    <col width="13" customWidth="1" style="140" min="11" max="11"/>
    <col width="13" customWidth="1" style="140" min="12" max="12"/>
    <col width="15" customWidth="1" style="140" min="13" max="13"/>
  </cols>
  <sheetData>
    <row r="1" ht="24" customHeight="1" s="140">
      <c r="A1" s="468" t="inlineStr">
        <is>
          <t>METAL LABOR   —   MECHANICALLY ATTACHED TPO  ·  TEAR-OFF</t>
        </is>
      </c>
    </row>
    <row r="2" ht="18" customHeight="1" s="140">
      <c r="A2" s="519" t="inlineStr">
        <is>
          <t>One row per trade. Same columns as the TPO page. Rates are set on the TPO Labor page. This page totals METAL ONLY.</t>
        </is>
      </c>
    </row>
    <row r="3" ht="8" customHeight="1" s="140"/>
    <row r="4" ht="30" customHeight="1" s="140">
      <c r="A4" s="478" t="inlineStr">
        <is>
          <t>TRADE</t>
        </is>
      </c>
      <c r="B4" s="479" t="inlineStr">
        <is>
          <t>MEN</t>
        </is>
      </c>
      <c r="C4" s="479" t="inlineStr">
        <is>
          <t>CREW $/DAY</t>
        </is>
      </c>
      <c r="D4" s="479" t="inlineStr">
        <is>
          <t>QTY</t>
        </is>
      </c>
      <c r="E4" s="479" t="inlineStr">
        <is>
          <t>UNIT</t>
        </is>
      </c>
      <c r="F4" s="479" t="inlineStr">
        <is>
          <t>PER DAY</t>
        </is>
      </c>
      <c r="G4" s="479" t="inlineStr">
        <is>
          <t>DAYS</t>
        </is>
      </c>
      <c r="H4" s="479" t="inlineStr">
        <is>
          <t>LABOR $</t>
        </is>
      </c>
      <c r="I4" s="479" t="inlineStr">
        <is>
          <t>$ PER UNIT</t>
        </is>
      </c>
      <c r="J4" s="479" t="inlineStr">
        <is>
          <t>PER DIEM</t>
        </is>
      </c>
      <c r="K4" s="479" t="inlineStr">
        <is>
          <t>HOTEL</t>
        </is>
      </c>
      <c r="L4" s="479" t="inlineStr">
        <is>
          <t>TRAVEL MKUP</t>
        </is>
      </c>
      <c r="M4" s="479" t="inlineStr">
        <is>
          <t>TRADE TOTAL</t>
        </is>
      </c>
    </row>
    <row r="5" ht="20" customHeight="1" s="140">
      <c r="A5" s="471" t="inlineStr">
        <is>
          <t xml:space="preserve">  Gravel stop</t>
        </is>
      </c>
      <c r="B5" s="480" t="n"/>
      <c r="C5" s="481">
        <f>IFERROR(N(B5)*N('TPO Labor'!$B$7),"")</f>
        <v/>
      </c>
      <c r="D5" s="482">
        <f>IFERROR('Material Takeoff'!B120,"")</f>
        <v/>
      </c>
      <c r="E5" s="477" t="inlineStr">
        <is>
          <t>LF</t>
        </is>
      </c>
      <c r="F5" s="483" t="n"/>
      <c r="G5" s="484">
        <f>IFERROR(IF(N(F5)=0,"",N(D5)/N(F5)),"")</f>
        <v/>
      </c>
      <c r="H5" s="476">
        <f>IFERROR(IF(OR(N(G5)=0,N(C5)=0),"",N(G5)*N(C5)),"")</f>
        <v/>
      </c>
      <c r="I5" s="485">
        <f>IFERROR(IF(N(D5)=0,"",N(H5)/N(D5)),"")</f>
        <v/>
      </c>
      <c r="J5" s="486">
        <f>IFERROR(IF(OR(N(B5)=0,N(G5)=0),"",N(B5)*N(G5)*N('TPO Labor'!$F$6))*IF('TPO Labor'!$F$5="Y",1,0),"")</f>
        <v/>
      </c>
      <c r="K5" s="487">
        <f>IFERROR(IF(OR(N(B5)=0,N(G5)=0),"",ROUNDUP(N(B5)/2,0)*N(G5)*N('TPO Labor'!$F$7))*IF('TPO Labor'!$F$5="Y",1,0),"")</f>
        <v/>
      </c>
      <c r="L5" s="488">
        <f>IFERROR((N(J5)+N(K5))*N('TPO Labor'!$F$8),"")</f>
        <v/>
      </c>
      <c r="M5" s="489">
        <f>IFERROR(N(H5)+N(J5)+N(K5)+N(L5),"")</f>
        <v/>
      </c>
    </row>
    <row r="6" ht="20" customHeight="1" s="140">
      <c r="A6" s="471" t="inlineStr">
        <is>
          <t xml:space="preserve">  Gravel stop cleat</t>
        </is>
      </c>
      <c r="B6" s="480" t="n"/>
      <c r="C6" s="481">
        <f>IFERROR(N(B6)*N('TPO Labor'!$B$7),"")</f>
        <v/>
      </c>
      <c r="D6" s="482">
        <f>IFERROR(Takeoff!B103,"")</f>
        <v/>
      </c>
      <c r="E6" s="477" t="inlineStr">
        <is>
          <t>LF</t>
        </is>
      </c>
      <c r="F6" s="483" t="n"/>
      <c r="G6" s="484">
        <f>IFERROR(IF(N(F6)=0,"",N(D6)/N(F6)),"")</f>
        <v/>
      </c>
      <c r="H6" s="476">
        <f>IFERROR(IF(OR(N(G6)=0,N(C6)=0),"",N(G6)*N(C6)),"")</f>
        <v/>
      </c>
      <c r="I6" s="485">
        <f>IFERROR(IF(N(D6)=0,"",N(H6)/N(D6)),"")</f>
        <v/>
      </c>
      <c r="J6" s="486">
        <f>IFERROR(IF(OR(N(B6)=0,N(G6)=0),"",N(B6)*N(G6)*N('TPO Labor'!$F$6))*IF('TPO Labor'!$F$5="Y",1,0),"")</f>
        <v/>
      </c>
      <c r="K6" s="487">
        <f>IFERROR(IF(OR(N(B6)=0,N(G6)=0),"",ROUNDUP(N(B6)/2,0)*N(G6)*N('TPO Labor'!$F$7))*IF('TPO Labor'!$F$5="Y",1,0),"")</f>
        <v/>
      </c>
      <c r="L6" s="488">
        <f>IFERROR((N(J6)+N(K6))*N('TPO Labor'!$F$8),"")</f>
        <v/>
      </c>
      <c r="M6" s="489">
        <f>IFERROR(N(H6)+N(J6)+N(K6)+N(L6),"")</f>
        <v/>
      </c>
    </row>
    <row r="7" ht="20" customHeight="1" s="140">
      <c r="A7" s="471" t="inlineStr">
        <is>
          <t xml:space="preserve">  Downspouts</t>
        </is>
      </c>
      <c r="B7" s="480" t="n"/>
      <c r="C7" s="481">
        <f>IFERROR(N(B7)*N('TPO Labor'!$B$7),"")</f>
        <v/>
      </c>
      <c r="D7" s="482">
        <f>IFERROR('Material Takeoff'!B122,"")</f>
        <v/>
      </c>
      <c r="E7" s="477" t="inlineStr">
        <is>
          <t>LF</t>
        </is>
      </c>
      <c r="F7" s="483" t="n"/>
      <c r="G7" s="484">
        <f>IFERROR(IF(N(F7)=0,"",N(D7)/N(F7)),"")</f>
        <v/>
      </c>
      <c r="H7" s="476">
        <f>IFERROR(IF(OR(N(G7)=0,N(C7)=0),"",N(G7)*N(C7)),"")</f>
        <v/>
      </c>
      <c r="I7" s="485">
        <f>IFERROR(IF(N(D7)=0,"",N(H7)/N(D7)),"")</f>
        <v/>
      </c>
      <c r="J7" s="486">
        <f>IFERROR(IF(OR(N(B7)=0,N(G7)=0),"",N(B7)*N(G7)*N('TPO Labor'!$F$6))*IF('TPO Labor'!$F$5="Y",1,0),"")</f>
        <v/>
      </c>
      <c r="K7" s="487">
        <f>IFERROR(IF(OR(N(B7)=0,N(G7)=0),"",ROUNDUP(N(B7)/2,0)*N(G7)*N('TPO Labor'!$F$7))*IF('TPO Labor'!$F$5="Y",1,0),"")</f>
        <v/>
      </c>
      <c r="L7" s="488">
        <f>IFERROR((N(J7)+N(K7))*N('TPO Labor'!$F$8),"")</f>
        <v/>
      </c>
      <c r="M7" s="489">
        <f>IFERROR(N(H7)+N(J7)+N(K7)+N(L7),"")</f>
        <v/>
      </c>
    </row>
    <row r="8" ht="20" customHeight="1" s="140">
      <c r="A8" s="471" t="inlineStr">
        <is>
          <t xml:space="preserve">  2 x 8 nailer</t>
        </is>
      </c>
      <c r="B8" s="480" t="n"/>
      <c r="C8" s="481">
        <f>IFERROR(N(B8)*N('TPO Labor'!$B$7),"")</f>
        <v/>
      </c>
      <c r="D8" s="482">
        <f>IFERROR('Material Takeoff'!G166,"")</f>
        <v/>
      </c>
      <c r="E8" s="477" t="inlineStr">
        <is>
          <t>LF</t>
        </is>
      </c>
      <c r="F8" s="483" t="n"/>
      <c r="G8" s="484">
        <f>IFERROR(IF(N(F8)=0,"",N(D8)/N(F8)),"")</f>
        <v/>
      </c>
      <c r="H8" s="476">
        <f>IFERROR(IF(OR(N(G8)=0,N(C8)=0),"",N(G8)*N(C8)),"")</f>
        <v/>
      </c>
      <c r="I8" s="485">
        <f>IFERROR(IF(N(D8)=0,"",N(H8)/N(D8)),"")</f>
        <v/>
      </c>
      <c r="J8" s="486">
        <f>IFERROR(IF(OR(N(B8)=0,N(G8)=0),"",N(B8)*N(G8)*N('TPO Labor'!$F$6))*IF('TPO Labor'!$F$5="Y",1,0),"")</f>
        <v/>
      </c>
      <c r="K8" s="487">
        <f>IFERROR(IF(OR(N(B8)=0,N(G8)=0),"",ROUNDUP(N(B8)/2,0)*N(G8)*N('TPO Labor'!$F$7))*IF('TPO Labor'!$F$5="Y",1,0),"")</f>
        <v/>
      </c>
      <c r="L8" s="488">
        <f>IFERROR((N(J8)+N(K8))*N('TPO Labor'!$F$8),"")</f>
        <v/>
      </c>
      <c r="M8" s="489">
        <f>IFERROR(N(H8)+N(J8)+N(K8)+N(L8),"")</f>
        <v/>
      </c>
    </row>
    <row r="9" ht="20" customHeight="1" s="140">
      <c r="A9" s="471" t="inlineStr">
        <is>
          <t xml:space="preserve">  Shop fabrication — flat metal</t>
        </is>
      </c>
      <c r="B9" s="477" t="n"/>
      <c r="C9" s="477" t="n"/>
      <c r="D9" s="482">
        <f>IFERROR(Takeoff!G106,"")</f>
        <v/>
      </c>
      <c r="E9" s="477" t="inlineStr">
        <is>
          <t>sheet</t>
        </is>
      </c>
      <c r="F9" s="477" t="n"/>
      <c r="G9" s="477" t="n"/>
      <c r="H9" s="476">
        <f>IFERROR(IF(OR(N(D9)=0,N(I9)=0),"",N(D9)*N(I9)),"")</f>
        <v/>
      </c>
      <c r="I9" s="472" t="n"/>
      <c r="J9" s="477" t="n"/>
      <c r="K9" s="477" t="n"/>
      <c r="L9" s="477" t="n"/>
      <c r="M9" s="489">
        <f>IFERROR(N(H9),"")</f>
        <v/>
      </c>
    </row>
    <row r="10" ht="20" customHeight="1" s="140">
      <c r="A10" s="471" t="inlineStr">
        <is>
          <t xml:space="preserve">  7/16" OSB install</t>
        </is>
      </c>
      <c r="B10" s="477" t="n"/>
      <c r="C10" s="477" t="n"/>
      <c r="D10" s="482">
        <f>IFERROR('Material Takeoff'!G167,"")</f>
        <v/>
      </c>
      <c r="E10" s="477" t="inlineStr">
        <is>
          <t>sheet</t>
        </is>
      </c>
      <c r="F10" s="477" t="n"/>
      <c r="G10" s="477" t="n"/>
      <c r="H10" s="476">
        <f>IFERROR(IF(OR(N(D10)=0,N(I10)=0),"",N(D10)*N(I10)),"")</f>
        <v/>
      </c>
      <c r="I10" s="472" t="n"/>
      <c r="J10" s="477" t="n"/>
      <c r="K10" s="477" t="n"/>
      <c r="L10" s="477" t="n"/>
      <c r="M10" s="489">
        <f>IFERROR(N(H10),"")</f>
        <v/>
      </c>
    </row>
    <row r="11" ht="24" customHeight="1" s="140">
      <c r="A11" s="490" t="inlineStr">
        <is>
          <t>METAL LABOR  —  PAGE TOTAL</t>
        </is>
      </c>
      <c r="B11" s="498" t="n"/>
      <c r="C11" s="498" t="n"/>
      <c r="D11" s="498" t="n"/>
      <c r="E11" s="498" t="n"/>
      <c r="F11" s="498" t="n"/>
      <c r="G11" s="499" t="n"/>
      <c r="H11" s="492">
        <f>IFERROR(SUM(H5:H10),"")</f>
        <v/>
      </c>
      <c r="I11" s="493" t="n"/>
      <c r="J11" s="494">
        <f>IFERROR(SUM(J5:J10),"")</f>
        <v/>
      </c>
      <c r="K11" s="495">
        <f>IFERROR(SUM(K5:K10),"")</f>
        <v/>
      </c>
      <c r="L11" s="496">
        <f>IFERROR(SUM(L5:L10),"")</f>
        <v/>
      </c>
      <c r="M11" s="497">
        <f>IFERROR(SUM(M5:M10),"")</f>
        <v/>
      </c>
    </row>
    <row r="12" ht="18" customHeight="1" s="140">
      <c r="A12" s="519" t="inlineStr">
        <is>
          <t>Shop fabrication and OSB carry no per diem and no hotel — that work happens at the shop, not in Houston.</t>
        </is>
      </c>
    </row>
  </sheetData>
  <mergeCells count="4">
    <mergeCell ref="A11:G11"/>
    <mergeCell ref="A2:M2"/>
    <mergeCell ref="A1:M1"/>
    <mergeCell ref="A12:M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C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40" min="1" max="1"/>
    <col width="18" customWidth="1" style="140" min="2" max="2"/>
    <col width="72" customWidth="1" style="140" min="3" max="3"/>
  </cols>
  <sheetData>
    <row r="1" ht="24" customHeight="1" s="140">
      <c r="A1" s="468" t="inlineStr">
        <is>
          <t>TOTALS   —   MECHANICALLY ATTACHED TPO</t>
        </is>
      </c>
    </row>
    <row r="2" ht="18" customHeight="1" s="140">
      <c r="A2" s="500" t="inlineStr">
        <is>
          <t>Materials. Labor. Travel. Everything else. That is the whole page.</t>
        </is>
      </c>
    </row>
    <row r="3" ht="8" customHeight="1" s="140"/>
    <row r="4" ht="20" customHeight="1" s="140">
      <c r="A4" s="470" t="inlineStr">
        <is>
          <t>MATERIALS</t>
        </is>
      </c>
    </row>
    <row r="5" ht="20" customHeight="1" s="140">
      <c r="A5" s="471" t="inlineStr">
        <is>
          <t>Materials  w/ tax</t>
        </is>
      </c>
      <c r="B5" s="501">
        <f>IFERROR('Material Order'!F134,"")</f>
        <v/>
      </c>
      <c r="C5" s="519" t="inlineStr">
        <is>
          <t>every material on the Material Order page, tax included</t>
        </is>
      </c>
    </row>
    <row r="6" ht="20" customHeight="1" s="140">
      <c r="A6" s="471" t="inlineStr">
        <is>
          <t>Material markup  %</t>
        </is>
      </c>
      <c r="B6" s="503" t="n"/>
      <c r="C6" s="523" t="inlineStr">
        <is>
          <t>VARIABLE — set it on THIS job. Materials carry no markup until it is answered.</t>
        </is>
      </c>
    </row>
    <row r="7" ht="20" customHeight="1" s="140">
      <c r="A7" s="471" t="inlineStr">
        <is>
          <t>Material markup</t>
        </is>
      </c>
      <c r="B7" s="501">
        <f>IFERROR((N('Material Order'!F134)-(N('Material Order'!F104)+N('Material Order'!F106))*(1+N('Material Order'!E133)))*N(B6),"")</f>
        <v/>
      </c>
      <c r="C7" s="519" t="inlineStr">
        <is>
          <t>scuppers and collector heads are all-in — they do not get marked up</t>
        </is>
      </c>
    </row>
    <row r="8" ht="8" customHeight="1" s="140"/>
    <row r="9" ht="20" customHeight="1" s="140">
      <c r="A9" s="470" t="inlineStr">
        <is>
          <t>LABOR</t>
        </is>
      </c>
    </row>
    <row r="10" ht="20" customHeight="1" s="140">
      <c r="A10" s="471" t="inlineStr">
        <is>
          <t>TPO labor</t>
        </is>
      </c>
      <c r="B10" s="504">
        <f>IFERROR('TPO Labor'!H18,"")</f>
        <v/>
      </c>
      <c r="C10" s="519" t="inlineStr">
        <is>
          <t>TPO Labor page, LABOR $ column total</t>
        </is>
      </c>
    </row>
    <row r="11" ht="20" customHeight="1" s="140">
      <c r="A11" s="471" t="inlineStr">
        <is>
          <t>Metal labor</t>
        </is>
      </c>
      <c r="B11" s="504">
        <f>IFERROR('Metal Labor'!H11,"")</f>
        <v/>
      </c>
      <c r="C11" s="519" t="inlineStr">
        <is>
          <t>Metal Labor page, LABOR $ column total</t>
        </is>
      </c>
    </row>
    <row r="12" ht="8" customHeight="1" s="140"/>
    <row r="13" ht="20" customHeight="1" s="140">
      <c r="A13" s="470" t="inlineStr">
        <is>
          <t>TRAVEL   —   two crews, kept apart</t>
        </is>
      </c>
    </row>
    <row r="14" ht="20" customHeight="1" s="140">
      <c r="A14" s="471" t="inlineStr">
        <is>
          <t>TPO crew  —  per diem</t>
        </is>
      </c>
      <c r="B14" s="505">
        <f>IFERROR('TPO Labor'!J18,"")</f>
        <v/>
      </c>
      <c r="C14" s="519" t="inlineStr">
        <is>
          <t>green column, TPO Labor page</t>
        </is>
      </c>
    </row>
    <row r="15" ht="20" customHeight="1" s="140">
      <c r="A15" s="471" t="inlineStr">
        <is>
          <t>TPO crew  —  hotels</t>
        </is>
      </c>
      <c r="B15" s="506">
        <f>IFERROR('TPO Labor'!K18,"")</f>
        <v/>
      </c>
      <c r="C15" s="519" t="inlineStr">
        <is>
          <t>blue column, TPO Labor page</t>
        </is>
      </c>
    </row>
    <row r="16" ht="20" customHeight="1" s="140">
      <c r="A16" s="471" t="inlineStr">
        <is>
          <t>TPO crew  —  travel markup</t>
        </is>
      </c>
      <c r="B16" s="507">
        <f>IFERROR('TPO Labor'!L18,"")</f>
        <v/>
      </c>
      <c r="C16" s="519" t="inlineStr">
        <is>
          <t>orange column, TPO Labor page</t>
        </is>
      </c>
    </row>
    <row r="17" ht="20" customHeight="1" s="140">
      <c r="A17" s="471" t="inlineStr">
        <is>
          <t>Metal crew  —  per diem</t>
        </is>
      </c>
      <c r="B17" s="505">
        <f>IFERROR('Metal Labor'!J11,"")</f>
        <v/>
      </c>
      <c r="C17" s="519" t="inlineStr">
        <is>
          <t>green column, Metal Labor page</t>
        </is>
      </c>
    </row>
    <row r="18" ht="20" customHeight="1" s="140">
      <c r="A18" s="471" t="inlineStr">
        <is>
          <t>Metal crew  —  hotels</t>
        </is>
      </c>
      <c r="B18" s="506">
        <f>IFERROR('Metal Labor'!K11,"")</f>
        <v/>
      </c>
      <c r="C18" s="519" t="inlineStr">
        <is>
          <t>blue column, Metal Labor page</t>
        </is>
      </c>
    </row>
    <row r="19" ht="20" customHeight="1" s="140">
      <c r="A19" s="471" t="inlineStr">
        <is>
          <t>Metal crew  —  travel markup</t>
        </is>
      </c>
      <c r="B19" s="507">
        <f>IFERROR('Metal Labor'!L11,"")</f>
        <v/>
      </c>
      <c r="C19" s="519" t="inlineStr">
        <is>
          <t>orange column, Metal Labor page</t>
        </is>
      </c>
    </row>
    <row r="20" ht="18" customHeight="1" s="140">
      <c r="A20" s="519">
        <f>"All six read zero unless OUT OF TOWN on the TPO Labor page is set to Y.   It is "&amp;IF('TPO Labor'!$B$8="Y","Y — travel is ON.","N — travel is OFF.")</f>
        <v/>
      </c>
    </row>
    <row r="21" ht="8" customHeight="1" s="140"/>
    <row r="22" ht="20" customHeight="1" s="140">
      <c r="A22" s="470" t="inlineStr">
        <is>
          <t>BEFORE THIS GOES OUT</t>
        </is>
      </c>
    </row>
    <row r="23" ht="20" customHeight="1" s="140">
      <c r="A23" s="471" t="inlineStr">
        <is>
          <t>Warranty / NDL</t>
        </is>
      </c>
      <c r="B23" s="508" t="n"/>
    </row>
    <row r="24" ht="20" customHeight="1" s="140">
      <c r="A24" s="471" t="inlineStr">
        <is>
          <t>Special insurance</t>
        </is>
      </c>
      <c r="B24" s="508" t="n"/>
    </row>
    <row r="25" ht="20" customHeight="1" s="140">
      <c r="A25" s="471" t="inlineStr">
        <is>
          <t>Tool purchase / rental</t>
        </is>
      </c>
      <c r="B25" s="508" t="n"/>
    </row>
    <row r="26" ht="20" customHeight="1" s="140">
      <c r="A26" s="471" t="inlineStr">
        <is>
          <t>Bonds  (P&amp;P / performance)</t>
        </is>
      </c>
      <c r="B26" s="508" t="n"/>
    </row>
    <row r="27" ht="20" customHeight="1" s="140">
      <c r="A27" s="471" t="inlineStr">
        <is>
          <t>Skytrack rental</t>
        </is>
      </c>
      <c r="B27" s="508" t="n"/>
    </row>
    <row r="28" ht="20" customHeight="1" s="140">
      <c r="A28" s="471" t="inlineStr">
        <is>
          <t>Dumpsters</t>
        </is>
      </c>
      <c r="B28" s="508">
        <f>IFERROR(ROUNDUP(N(B33)/10,0)*700,"")</f>
        <v/>
      </c>
      <c r="C28" s="519" t="inlineStr">
        <is>
          <t>$700 a dumpster, one load every 10 squares</t>
        </is>
      </c>
    </row>
    <row r="29" ht="20" customHeight="1" s="140">
      <c r="A29" s="471" t="inlineStr">
        <is>
          <t>Misc markup  %</t>
        </is>
      </c>
      <c r="B29" s="503" t="n"/>
      <c r="C29" s="523" t="inlineStr">
        <is>
          <t>VARIABLE — set it on THIS job. Applies to insurance, tools, bonds, Skytrack, dumpsters. Nothing marks up until it is answered.</t>
        </is>
      </c>
    </row>
    <row r="30" ht="20" customHeight="1" s="140">
      <c r="A30" s="471" t="inlineStr">
        <is>
          <t>Misc markup</t>
        </is>
      </c>
      <c r="B30" s="508">
        <f>IFERROR((N(B24)+N(B25)+N(B26)+N(B27)+N(B28))*N(B29),"")</f>
        <v/>
      </c>
    </row>
    <row r="31" ht="8" customHeight="1" s="140"/>
    <row r="32" ht="22" customHeight="1" s="140">
      <c r="A32" s="509" t="inlineStr">
        <is>
          <t>TOTAL BID</t>
        </is>
      </c>
      <c r="B32" s="510">
        <f>IFERROR(N(B5)+N(B7)+N(B10)+N(B11)+N(B14)+N(B15)+N(B16)+N(B17)+N(B18)+N(B19)+N(B23)+N(B24)+N(B25)+N(B26)+N(B27)+N(B28)+N(B30),"")</f>
        <v/>
      </c>
    </row>
    <row r="33" ht="20" customHeight="1" s="140">
      <c r="A33" s="511" t="inlineStr">
        <is>
          <t>Total squares</t>
        </is>
      </c>
      <c r="B33" s="512">
        <f>IFERROR('Material Takeoff'!G9,"")</f>
        <v/>
      </c>
    </row>
    <row r="34" ht="22" customHeight="1" s="140">
      <c r="A34" s="509" t="inlineStr">
        <is>
          <t>PRICE PER SQUARE</t>
        </is>
      </c>
      <c r="B34" s="510">
        <f>IFERROR(IF(N(B33)=0,"",N(B32)/N(B33)),"")</f>
        <v/>
      </c>
    </row>
    <row r="35" ht="18" customHeight="1" s="140">
      <c r="A35" s="500" t="inlineStr">
        <is>
          <t>Every line above is one number from one place. Nothing on this page is calculated twice.</t>
        </is>
      </c>
    </row>
  </sheetData>
  <mergeCells count="8">
    <mergeCell ref="A13:C13"/>
    <mergeCell ref="A1:C1"/>
    <mergeCell ref="A22:C22"/>
    <mergeCell ref="A9:C9"/>
    <mergeCell ref="A35:C35"/>
    <mergeCell ref="A4:C4"/>
    <mergeCell ref="A20:C20"/>
    <mergeCell ref="A2:C2"/>
  </mergeCell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5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39" min="1" max="1"/>
    <col width="46" customWidth="1" style="139" min="2" max="2"/>
    <col width="10" customWidth="1" style="139" min="3" max="3"/>
    <col width="14" customWidth="1" style="139" min="4" max="4"/>
    <col width="40" customWidth="1" style="139" min="5" max="5"/>
  </cols>
  <sheetData>
    <row r="1" ht="22" customHeight="1" s="140">
      <c r="A1" s="228" t="inlineStr">
        <is>
          <t>BID PRODUCTS  —  what this job actually buys</t>
        </is>
      </c>
    </row>
    <row r="2" ht="32" customHeight="1" s="140">
      <c r="A2" s="433" t="inlineStr">
        <is>
          <t>One row per Material Order line. Every product below is the exact line off Blake Babcock's sheet (Specialized Building Materials, 8/25/26) — item number, pack size, price. Anything with no item number is not on that sheet.</t>
        </is>
      </c>
    </row>
    <row r="3" ht="20" customHeight="1" s="140">
      <c r="A3" s="165" t="inlineStr">
        <is>
          <t>Material Order line</t>
        </is>
      </c>
      <c r="B3" s="165" t="inlineStr">
        <is>
          <t>Product (from the applied manufacturer price sheet)</t>
        </is>
      </c>
      <c r="C3" s="165" t="inlineStr">
        <is>
          <t>Unit</t>
        </is>
      </c>
      <c r="D3" s="165" t="inlineStr">
        <is>
          <t>PRICE</t>
        </is>
      </c>
      <c r="E3" s="165" t="inlineStr">
        <is>
          <t>Note</t>
        </is>
      </c>
      <c r="F3" s="139" t="inlineStr">
        <is>
          <t>How the price is figured</t>
        </is>
      </c>
    </row>
    <row r="4" ht="20" customHeight="1" s="140">
      <c r="A4" s="211" t="inlineStr">
        <is>
          <t>TPO field membrane 10'</t>
        </is>
      </c>
      <c r="B4" s="181" t="inlineStr">
        <is>
          <t>31012  GAF TPO .060 Wht 10'X100'  ·  10 SQ/ROLL</t>
        </is>
      </c>
      <c r="C4" s="169" t="inlineStr">
        <is>
          <t>roll</t>
        </is>
      </c>
      <c r="D4" s="332" t="n">
        <v>710</v>
      </c>
      <c r="E4" s="231" t="n"/>
      <c r="F4" s="448" t="inlineStr">
        <is>
          <t>$0.710/sf x 1,000 sf  (10 ft x 100 ft roll)  =  $710.00 a roll</t>
        </is>
      </c>
    </row>
    <row r="5" ht="20" customHeight="1" s="140">
      <c r="A5" s="211" t="inlineStr">
        <is>
          <t>TPO field membrane 5'</t>
        </is>
      </c>
      <c r="B5" s="181" t="inlineStr">
        <is>
          <t>31014  GAF TPO .060 Wht 5'X100'  ·  5 SQ/ROLL</t>
        </is>
      </c>
      <c r="C5" s="169" t="inlineStr">
        <is>
          <t>roll</t>
        </is>
      </c>
      <c r="D5" s="332" t="n">
        <v>355</v>
      </c>
      <c r="E5" s="231" t="n"/>
      <c r="F5" s="448" t="inlineStr">
        <is>
          <t>$0.710/sf x 500 sf  (5 ft x 100 ft roll)  =  $355.00 a roll</t>
        </is>
      </c>
    </row>
    <row r="6" ht="20" customHeight="1" s="140">
      <c r="A6" s="211" t="inlineStr">
        <is>
          <t>Polyiso  —  field of the roof</t>
        </is>
      </c>
      <c r="B6" s="181" t="inlineStr">
        <is>
          <t>12004  Insulation ISO 1.6" (LTTR 9.4) 4x8  ·  51 BDFT/EA</t>
        </is>
      </c>
      <c r="C6" s="169" t="inlineStr">
        <is>
          <t>board</t>
        </is>
      </c>
      <c r="D6" s="332" t="n">
        <v>21.76</v>
      </c>
      <c r="E6" s="231" t="inlineStr">
        <is>
          <t>$68.00/sq on the sheet</t>
        </is>
      </c>
      <c r="F6" s="448" t="inlineStr">
        <is>
          <t>4x8 = 32 sf.  32 sf x 1.6 in = 51.2 board-feet.  51.2 x $0.425/bdft  =  $21.76 a board</t>
        </is>
      </c>
    </row>
    <row r="7" ht="20" customHeight="1" s="140">
      <c r="A7" s="211" t="inlineStr">
        <is>
          <t>Crickets  —  Scuppers / Drains  ·  Q board</t>
        </is>
      </c>
      <c r="B7" s="181" t="inlineStr">
        <is>
          <t>11000  ISO Taper Panel Q (0.5"-2.5") 4x4  ·  24 BDFT/EA</t>
        </is>
      </c>
      <c r="C7" s="169" t="inlineStr">
        <is>
          <t>board</t>
        </is>
      </c>
      <c r="D7" s="332" t="n">
        <v>14.28</v>
      </c>
      <c r="E7" s="231" t="inlineStr">
        <is>
          <t>$89.25/sq on the sheet</t>
        </is>
      </c>
      <c r="F7" s="448" t="inlineStr">
        <is>
          <t>Q panel is 0.5-2.5 in, so 1.5 in average.  4x4 = 16 sf.  16 x 1.5 = 24 board-feet.  24 x $0.595/bdft  =  $14.28 a board</t>
        </is>
      </c>
    </row>
    <row r="8" ht="20" customHeight="1" s="140">
      <c r="A8" s="211" t="inlineStr">
        <is>
          <t>Crickets  —  Units  ·  Q board</t>
        </is>
      </c>
      <c r="B8" s="181" t="inlineStr">
        <is>
          <t>11000  ISO Taper Panel Q (0.5"-2.5") 4x4  ·  24 BDFT/EA</t>
        </is>
      </c>
      <c r="C8" s="169" t="inlineStr">
        <is>
          <t>board</t>
        </is>
      </c>
      <c r="D8" s="332" t="n">
        <v>14.28</v>
      </c>
      <c r="E8" s="231" t="inlineStr">
        <is>
          <t>$89.25/sq on the sheet</t>
        </is>
      </c>
      <c r="F8" s="448" t="inlineStr">
        <is>
          <t>Q panel is 0.5-2.5 in, so 1.5 in average.  4x4 = 16 sf.  16 x 1.5 = 24 board-feet.  24 x $0.595/bdft  =  $14.28 a board</t>
        </is>
      </c>
    </row>
    <row r="9" ht="20" customHeight="1" s="140">
      <c r="A9" s="211" t="inlineStr">
        <is>
          <t>ISO plates</t>
        </is>
      </c>
      <c r="B9" s="181" t="inlineStr">
        <is>
          <t>20000  GAF Drill-Tec Stnd Flat Steel Galv Insul Plate 3" (#4181B)  ·  500/EA</t>
        </is>
      </c>
      <c r="C9" s="169" t="inlineStr">
        <is>
          <t>box</t>
        </is>
      </c>
      <c r="D9" s="332" t="n">
        <v>118.96</v>
      </c>
      <c r="E9" s="231" t="n"/>
      <c r="F9" s="139" t="inlineStr">
        <is>
          <t>$118.96 a box of 500  =  $0.238 a plate</t>
        </is>
      </c>
    </row>
    <row r="10" ht="20" customHeight="1" s="140">
      <c r="A10" s="211" t="inlineStr">
        <is>
          <t>Seam plates</t>
        </is>
      </c>
      <c r="B10" s="181" t="inlineStr">
        <is>
          <t>20003  GAF Drill-Tec 2-3/8" EGX-FM Steel Plate, Barbed  ·  1000/EA</t>
        </is>
      </c>
      <c r="C10" s="169" t="inlineStr">
        <is>
          <t>box</t>
        </is>
      </c>
      <c r="D10" s="332" t="n">
        <v>376.44</v>
      </c>
      <c r="E10" s="231" t="inlineStr">
        <is>
          <t>sheet says 2-3/8", not the 2-3/4" in the crosswalk</t>
        </is>
      </c>
      <c r="F10" s="448" t="inlineStr">
        <is>
          <t>$376.44 a box of 1,000  =  $0.376 a plate</t>
        </is>
      </c>
    </row>
    <row r="11" ht="20" customHeight="1" s="140">
      <c r="A11" s="211" t="inlineStr">
        <is>
          <t>Insulation fasteners  #12</t>
        </is>
      </c>
      <c r="B11" s="181" t="inlineStr">
        <is>
          <t>20011  GAF Drill-Tec 5" #12 Fastener  ·  #3 Phillips  ·  1000/EA</t>
        </is>
      </c>
      <c r="C11" s="169" t="inlineStr">
        <is>
          <t>box</t>
        </is>
      </c>
      <c r="D11" s="332" t="n">
        <v>270.32</v>
      </c>
      <c r="E11" s="231" t="inlineStr">
        <is>
          <t>IT IS on Blake's sheet. Claude's earlier "#12 HD" was invented — this is the real line.</t>
        </is>
      </c>
      <c r="F11" s="448" t="inlineStr">
        <is>
          <t>$270.32 a box of 1,000  =  $0.270 a screw</t>
        </is>
      </c>
    </row>
    <row r="12" ht="20" customHeight="1" s="140">
      <c r="A12" s="211" t="inlineStr">
        <is>
          <t>Seam fasteners  #15  —  5"</t>
        </is>
      </c>
      <c r="B12" s="181" t="inlineStr">
        <is>
          <t>20037  GAF Drill-Tec 5" #15 Washer Head Fastener  ·  #3 Phillips  ·  500/EA</t>
        </is>
      </c>
      <c r="C12" s="169" t="inlineStr">
        <is>
          <t>box</t>
        </is>
      </c>
      <c r="D12" s="332" t="n">
        <v>192.69</v>
      </c>
      <c r="E12" s="231" t="inlineStr">
        <is>
          <t>PACK IS 500, not 1000. The sheet was built on 1000 — corrected.</t>
        </is>
      </c>
      <c r="F12" s="448" t="inlineStr">
        <is>
          <t>$192.69 a box of 500  =  $0.385 a screw.  PACK IS 500, not 1,000.</t>
        </is>
      </c>
    </row>
    <row r="13" ht="20" customHeight="1" s="140">
      <c r="A13" s="211" t="inlineStr">
        <is>
          <t>Bonding adhesive</t>
        </is>
      </c>
      <c r="B13" s="181" t="inlineStr">
        <is>
          <t>41022  GAF TPO #1121 Solvent Based Bonding Adhesive 5GL</t>
        </is>
      </c>
      <c r="C13" s="169" t="inlineStr">
        <is>
          <t>pail</t>
        </is>
      </c>
      <c r="D13" s="332" t="n">
        <v>149.5</v>
      </c>
      <c r="E13" s="231" t="n"/>
      <c r="F13" s="139" t="inlineStr">
        <is>
          <t>$149.50 a 5-gallon pail</t>
        </is>
      </c>
    </row>
    <row r="14" ht="20" customHeight="1" s="140">
      <c r="A14" s="211" t="inlineStr">
        <is>
          <t>Rollers</t>
        </is>
      </c>
      <c r="B14" s="181" t="inlineStr">
        <is>
          <t>shop supply</t>
        </is>
      </c>
      <c r="C14" s="169" t="inlineStr">
        <is>
          <t>ea</t>
        </is>
      </c>
      <c r="D14" s="332" t="n">
        <v>5</v>
      </c>
      <c r="E14" s="231" t="inlineStr">
        <is>
          <t>shop supply — not on Blake's sheet</t>
        </is>
      </c>
      <c r="F14" s="139" t="inlineStr">
        <is>
          <t>shop supply — $5.00 each</t>
        </is>
      </c>
    </row>
    <row r="15" ht="20" customHeight="1" s="140">
      <c r="A15" s="211" t="inlineStr">
        <is>
          <t>Cages</t>
        </is>
      </c>
      <c r="B15" s="181" t="inlineStr">
        <is>
          <t>shop supply</t>
        </is>
      </c>
      <c r="C15" s="169" t="inlineStr">
        <is>
          <t>ea</t>
        </is>
      </c>
      <c r="D15" s="332" t="n">
        <v>5</v>
      </c>
      <c r="E15" s="231" t="inlineStr">
        <is>
          <t>shop supply — not on Blake's sheet</t>
        </is>
      </c>
      <c r="F15" s="139" t="inlineStr">
        <is>
          <t>shop supply — $5.00 each</t>
        </is>
      </c>
    </row>
    <row r="16" ht="20" customHeight="1" s="140">
      <c r="A16" s="211" t="inlineStr">
        <is>
          <t>Sticks</t>
        </is>
      </c>
      <c r="B16" s="181" t="inlineStr">
        <is>
          <t>shop supply</t>
        </is>
      </c>
      <c r="C16" s="169" t="inlineStr">
        <is>
          <t>ea</t>
        </is>
      </c>
      <c r="D16" s="332" t="n">
        <v>5</v>
      </c>
      <c r="E16" s="231" t="inlineStr">
        <is>
          <t>shop supply — not on Blake's sheet</t>
        </is>
      </c>
      <c r="F16" s="139" t="inlineStr">
        <is>
          <t>shop supply — $5.00 each</t>
        </is>
      </c>
    </row>
    <row r="17" ht="20" customHeight="1" s="140">
      <c r="A17" s="211" t="inlineStr">
        <is>
          <t>Unsupported flashing</t>
        </is>
      </c>
      <c r="B17" s="181" t="inlineStr">
        <is>
          <t>41044  GAF TPO UN-55 Flexible Detail Memb. Wht 24"X50'  ·  50 LF/ROLL</t>
        </is>
      </c>
      <c r="C17" s="169" t="inlineStr">
        <is>
          <t>roll</t>
        </is>
      </c>
      <c r="D17" s="332" t="n">
        <v>435.5</v>
      </c>
      <c r="E17" s="231" t="n"/>
      <c r="F17" s="448" t="inlineStr">
        <is>
          <t>$435.50 a roll.  24 in x 50 ft = 100 sf a roll  =  $4.36/sf</t>
        </is>
      </c>
    </row>
    <row r="18" ht="20" customHeight="1" s="140">
      <c r="A18" s="211" t="inlineStr">
        <is>
          <t>TPO T-joints</t>
        </is>
      </c>
      <c r="B18" s="181" t="inlineStr">
        <is>
          <t>41037  GAF TPO Flexible T-Joint Patch White 4"X4"  ·  100/EA</t>
        </is>
      </c>
      <c r="C18" s="169" t="inlineStr">
        <is>
          <t>box</t>
        </is>
      </c>
      <c r="D18" s="332" t="n">
        <v>99</v>
      </c>
      <c r="E18" s="231" t="n"/>
      <c r="F18" s="139" t="inlineStr">
        <is>
          <t>$99.00 a box of 100  =  $0.99 a patch</t>
        </is>
      </c>
    </row>
    <row r="19" ht="20" customHeight="1" s="140">
      <c r="A19" s="211" t="inlineStr">
        <is>
          <t>TPO corners</t>
        </is>
      </c>
      <c r="B19" s="181" t="inlineStr">
        <is>
          <t>41028  GAF TPO Flexible Fluted Outside Corner 8" Diameter  ·  20 EA/CTN</t>
        </is>
      </c>
      <c r="C19" s="169" t="inlineStr">
        <is>
          <t>ea</t>
        </is>
      </c>
      <c r="D19" s="332" t="n">
        <v>13.51</v>
      </c>
      <c r="E19" s="231" t="inlineStr">
        <is>
          <t>PICK ONE: 41045 Universal Corners 4"x4" is $12.69 — which corner do you run?</t>
        </is>
      </c>
      <c r="F19" s="448" t="inlineStr">
        <is>
          <t>$13.51 each.  Comes 20 to a carton = $270.20 a carton, but it is bought by the piece.</t>
        </is>
      </c>
    </row>
    <row r="20" ht="20" customHeight="1" s="140">
      <c r="A20" s="211" t="inlineStr">
        <is>
          <t>TPO molded pipe boots</t>
        </is>
      </c>
      <c r="B20" s="181" t="inlineStr">
        <is>
          <t>41047  GAF TPO Vent Boots White 1"-6"  ·  6 EA/CTN</t>
        </is>
      </c>
      <c r="C20" s="169" t="inlineStr">
        <is>
          <t>ea</t>
        </is>
      </c>
      <c r="D20" s="332" t="n">
        <v>44.5</v>
      </c>
      <c r="E20" s="231" t="n"/>
      <c r="F20" s="139" t="inlineStr">
        <is>
          <t>$44.50 each.  6 to a carton.</t>
        </is>
      </c>
    </row>
    <row r="21" ht="20" customHeight="1" s="140">
      <c r="A21" s="211" t="inlineStr">
        <is>
          <t>Pitch pockets</t>
        </is>
      </c>
      <c r="B21" s="181" t="inlineStr">
        <is>
          <t>41020  GAF Split Pourable Sealant Pocket White  ·  6 EA/CTN</t>
        </is>
      </c>
      <c r="C21" s="169" t="inlineStr">
        <is>
          <t>ea</t>
        </is>
      </c>
      <c r="D21" s="332" t="n">
        <v>59.5</v>
      </c>
      <c r="E21" s="231" t="n"/>
      <c r="F21" s="139" t="inlineStr">
        <is>
          <t>$59.50 each.  6 to a carton.</t>
        </is>
      </c>
    </row>
    <row r="22" ht="20" customHeight="1" s="140">
      <c r="A22" s="211" t="inlineStr">
        <is>
          <t>Pourable sealer</t>
        </is>
      </c>
      <c r="B22" s="181" t="inlineStr">
        <is>
          <t>41015  GAF 1-Part Pourable Sealant White  ·  4 KT/CTN</t>
        </is>
      </c>
      <c r="C22" s="169" t="inlineStr">
        <is>
          <t>kit</t>
        </is>
      </c>
      <c r="D22" s="332" t="n">
        <v>85.8</v>
      </c>
      <c r="E22" s="231" t="inlineStr">
        <is>
          <t>was $85.50 — sheet says $85.80</t>
        </is>
      </c>
      <c r="F22" s="139" t="inlineStr">
        <is>
          <t>$85.80 a kit.  4 kits to a carton.</t>
        </is>
      </c>
    </row>
    <row r="23" ht="20" customHeight="1" s="140">
      <c r="A23" s="211" t="inlineStr">
        <is>
          <t>TPO cover tape</t>
        </is>
      </c>
      <c r="B23" s="181" t="inlineStr">
        <is>
          <t>41023  GAF TPO Dbl Cover Tape Wht 6"X100'  ·  100 LF/ROLL</t>
        </is>
      </c>
      <c r="C23" s="169" t="inlineStr">
        <is>
          <t>roll</t>
        </is>
      </c>
      <c r="D23" s="332" t="n">
        <v>356.5</v>
      </c>
      <c r="E23" s="231" t="inlineStr">
        <is>
          <t>PICK ONE: 41033 Primerless Dbl $356.50 · 41024 Heatweld $388.50 · 41025 60M Flashing Strip 8"x100 $283.19</t>
        </is>
      </c>
      <c r="F23" s="448" t="inlineStr">
        <is>
          <t>$356.50 a roll.  6 in x 100 ft = 100 LF a roll  =  $3.565/LF</t>
        </is>
      </c>
    </row>
    <row r="24" ht="20" customHeight="1" s="140">
      <c r="A24" s="211" t="inlineStr">
        <is>
          <t>Primer</t>
        </is>
      </c>
      <c r="B24" s="181" t="inlineStr">
        <is>
          <t>IKO / Innovi TPO Tape Primer 3Gl (6/Ctn)</t>
        </is>
      </c>
      <c r="C24" s="169" t="inlineStr">
        <is>
          <t>can</t>
        </is>
      </c>
      <c r="D24" s="332" t="n">
        <v>164.75</v>
      </c>
      <c r="E24" s="231" t="inlineStr">
        <is>
          <t>LAW — 3-GALLON ONLY. Never the 1-gallon. Blake sells the IKO 3G; that is the line, every time.</t>
        </is>
      </c>
      <c r="F24" s="448" t="inlineStr">
        <is>
          <t>IKO / Innovi TPO Tape Primer 3 GALLON, 6 to a carton.  $164.75 a jug.</t>
        </is>
      </c>
    </row>
    <row r="25" ht="20" customHeight="1" s="140">
      <c r="A25" s="211" t="inlineStr">
        <is>
          <t>Brushes</t>
        </is>
      </c>
      <c r="B25" s="181" t="inlineStr">
        <is>
          <t>shop supply</t>
        </is>
      </c>
      <c r="C25" s="169" t="inlineStr">
        <is>
          <t>ea</t>
        </is>
      </c>
      <c r="D25" s="332" t="n">
        <v>5</v>
      </c>
      <c r="E25" s="231" t="inlineStr">
        <is>
          <t>shop supply — not on Blake's sheet</t>
        </is>
      </c>
      <c r="F25" s="139" t="inlineStr">
        <is>
          <t>shop supply — $5.00 each</t>
        </is>
      </c>
    </row>
    <row r="26" ht="20" customHeight="1" s="140">
      <c r="A26" s="211" t="inlineStr">
        <is>
          <t>TPO cut-edge sealant</t>
        </is>
      </c>
      <c r="B26" s="181" t="inlineStr">
        <is>
          <t>41027  GAF TPO Cut Edge Sealant Wht Pint  ·  12 EA/CTN</t>
        </is>
      </c>
      <c r="C26" s="169" t="inlineStr">
        <is>
          <t>tube</t>
        </is>
      </c>
      <c r="D26" s="332" t="n">
        <v>26.65</v>
      </c>
      <c r="E26" s="231" t="n"/>
      <c r="F26" s="139" t="inlineStr">
        <is>
          <t>$26.65 a pint.  12 to a carton.</t>
        </is>
      </c>
    </row>
    <row r="27" ht="20" customHeight="1" s="140">
      <c r="A27" s="211" t="inlineStr">
        <is>
          <t>TPO LVOC all-purpose</t>
        </is>
      </c>
      <c r="B27" s="181" t="inlineStr">
        <is>
          <t>41017  GAF FlexSeal Caulk Grade (Red Label)  ·  20-10OZ/CTN</t>
        </is>
      </c>
      <c r="C27" s="169" t="inlineStr">
        <is>
          <t>can</t>
        </is>
      </c>
      <c r="D27" s="332" t="n">
        <v>14.59</v>
      </c>
      <c r="E27" s="231" t="n"/>
      <c r="F27" s="448" t="inlineStr">
        <is>
          <t>$14.59 a tube.  20 tubes of 10 oz to a carton.</t>
        </is>
      </c>
    </row>
    <row r="28" ht="20" customHeight="1" s="140">
      <c r="A28" s="211" t="inlineStr">
        <is>
          <t>Water block</t>
        </is>
      </c>
      <c r="B28" s="181" t="inlineStr">
        <is>
          <t>41016  GAF Evrg Water Block Mastic 10.3oz  ·  25 EA/CTN</t>
        </is>
      </c>
      <c r="C28" s="169" t="inlineStr">
        <is>
          <t>tube</t>
        </is>
      </c>
      <c r="D28" s="332" t="n">
        <v>8.9</v>
      </c>
      <c r="E28" s="231" t="n"/>
      <c r="F28" s="448" t="inlineStr">
        <is>
          <t>$8.90 a tube of 10.3 oz.  25 to a carton.</t>
        </is>
      </c>
    </row>
    <row r="29" ht="20" customHeight="1" s="140">
      <c r="A29" s="211" t="inlineStr">
        <is>
          <t>TPO cleaner 5g</t>
        </is>
      </c>
      <c r="B29" s="181" t="inlineStr">
        <is>
          <t>Carlisle / QXO TPO seam cleaner 5-GALLON</t>
        </is>
      </c>
      <c r="C29" s="169" t="inlineStr">
        <is>
          <t>can</t>
        </is>
      </c>
      <c r="D29" s="332" t="n">
        <v>150</v>
      </c>
      <c r="E29" s="231" t="inlineStr">
        <is>
          <t>ESTIMATE — Adam gave $150 to stand in until the QXO invoice with the 5-gal cleaner is found. Not a quoted price.</t>
        </is>
      </c>
      <c r="F29" s="139" t="inlineStr">
        <is>
          <t>$150.00 a 5-gallon can</t>
        </is>
      </c>
    </row>
    <row r="30" ht="20" customHeight="1" s="140">
      <c r="A30" s="211" t="inlineStr">
        <is>
          <t>Rags</t>
        </is>
      </c>
      <c r="B30" s="181" t="inlineStr">
        <is>
          <t>shop supply — box</t>
        </is>
      </c>
      <c r="C30" s="169" t="inlineStr">
        <is>
          <t>box</t>
        </is>
      </c>
      <c r="D30" s="332" t="n">
        <v>40</v>
      </c>
      <c r="E30" s="231" t="inlineStr">
        <is>
          <t>shop supply — not on Blake's sheet</t>
        </is>
      </c>
      <c r="F30" s="139" t="inlineStr">
        <is>
          <t>shop supply — $40.00 a box</t>
        </is>
      </c>
    </row>
    <row r="31" ht="20" customHeight="1" s="140">
      <c r="A31" s="211" t="inlineStr">
        <is>
          <t>Hose clamps</t>
        </is>
      </c>
      <c r="B31" s="181" t="inlineStr">
        <is>
          <t>shop supply — box</t>
        </is>
      </c>
      <c r="C31" s="169" t="inlineStr">
        <is>
          <t>roll</t>
        </is>
      </c>
      <c r="D31" s="332" t="n">
        <v>100</v>
      </c>
      <c r="E31" s="231" t="inlineStr">
        <is>
          <t>shop supply — not on Blake's sheet</t>
        </is>
      </c>
      <c r="F31" s="139" t="inlineStr">
        <is>
          <t>shop supply — $100.00 a roll</t>
        </is>
      </c>
    </row>
    <row r="32" ht="20" customHeight="1" s="140">
      <c r="A32" s="211" t="inlineStr">
        <is>
          <t>Roof hatch</t>
        </is>
      </c>
      <c r="B32" s="181" t="inlineStr">
        <is>
          <t>TRI-BUILT Roof Hatch Galvanized 36 x 30  ·  SKU TRIRHG3630  (TBG3036)  ·  1 pc</t>
        </is>
      </c>
      <c r="C32" s="169" t="inlineStr">
        <is>
          <t>ea</t>
        </is>
      </c>
      <c r="D32" s="332" t="n">
        <v>850</v>
      </c>
      <c r="E32" s="465" t="inlineStr">
        <is>
          <t>QXO invoice VG76853, 9/1/26, PO "FATE 20K ROOF HATCH" — 1 pc @ $850.00 + $70.13 tax = $920.13. Price, product and qty all checked AS 9/7/26.</t>
        </is>
      </c>
      <c r="F32" s="139" t="n"/>
    </row>
    <row r="33" ht="20" customHeight="1" s="140">
      <c r="A33" s="211" t="inlineStr">
        <is>
          <t>Safety ladder-up post</t>
        </is>
      </c>
      <c r="B33" s="181" t="inlineStr">
        <is>
          <t>NA</t>
        </is>
      </c>
      <c r="C33" s="169" t="inlineStr">
        <is>
          <t>ea</t>
        </is>
      </c>
      <c r="D33" s="332" t="n"/>
      <c r="E33" s="465" t="inlineStr">
        <is>
          <t>NA — no safety ladder-up post on this job. No product, no price.</t>
        </is>
      </c>
      <c r="F33" s="139" t="n"/>
    </row>
    <row r="34" ht="20" customHeight="1" s="140">
      <c r="A34" s="211" t="inlineStr">
        <is>
          <t>Backer rod</t>
        </is>
      </c>
      <c r="B34" s="181" t="inlineStr">
        <is>
          <t>Backer rod  —  20 ft bag</t>
        </is>
      </c>
      <c r="C34" s="169" t="inlineStr">
        <is>
          <t>bag</t>
        </is>
      </c>
      <c r="D34" s="332" t="n">
        <v>4</v>
      </c>
      <c r="E34" s="465" t="inlineStr">
        <is>
          <t>ESTIMATE — $4 a bag, from the earlier pricing notes ("~$4/20ft"). Never tied to an invoice. Not on Blake's sheet.</t>
        </is>
      </c>
      <c r="F34" s="139" t="n"/>
    </row>
    <row r="35" ht="20" customHeight="1" s="140">
      <c r="A35" s="211" t="inlineStr">
        <is>
          <t>Railing / guardrail set</t>
        </is>
      </c>
      <c r="B35" s="181" t="inlineStr">
        <is>
          <t>NA</t>
        </is>
      </c>
      <c r="C35" s="169" t="inlineStr">
        <is>
          <t>ea</t>
        </is>
      </c>
      <c r="D35" s="332" t="n"/>
      <c r="E35" s="465" t="inlineStr">
        <is>
          <t>NA — no railing / guardrail set on this job. No product, no price.</t>
        </is>
      </c>
      <c r="F35" s="139" t="n"/>
    </row>
    <row r="36" ht="20" customHeight="1" s="140">
      <c r="A36" s="211" t="inlineStr">
        <is>
          <t>Walkpad</t>
        </is>
      </c>
      <c r="B36" s="181" t="inlineStr">
        <is>
          <t>41048  GAF TPO Walkway Roll — Gray 34.25" x 50'5"  ·  50 LF/ROLL</t>
        </is>
      </c>
      <c r="C36" s="169" t="inlineStr">
        <is>
          <t>roll</t>
        </is>
      </c>
      <c r="D36" s="332" t="n">
        <v>665</v>
      </c>
      <c r="E36" s="465" t="inlineStr">
        <is>
          <t>Blake / SBM 8/25/26 sheet, page 31, item 41048 — $665.00 per 50 LF roll.</t>
        </is>
      </c>
      <c r="F36" s="139" t="n"/>
    </row>
    <row r="37" ht="20" customHeight="1" s="140">
      <c r="A37" s="211" t="inlineStr">
        <is>
          <t>Coping metal</t>
        </is>
      </c>
      <c r="B37" s="181" t="inlineStr">
        <is>
          <t>NA</t>
        </is>
      </c>
      <c r="C37" s="169" t="inlineStr">
        <is>
          <t>sheet</t>
        </is>
      </c>
      <c r="D37" s="332" t="n"/>
      <c r="E37" s="465" t="inlineStr">
        <is>
          <t>NA — no coping metal on this job. No product, no price.</t>
        </is>
      </c>
      <c r="F37" s="139" t="n"/>
    </row>
    <row r="38" ht="20" customHeight="1" s="140">
      <c r="A38" s="211" t="inlineStr">
        <is>
          <t>Coping cleat</t>
        </is>
      </c>
      <c r="B38" s="181" t="inlineStr">
        <is>
          <t>NA</t>
        </is>
      </c>
      <c r="C38" s="169" t="inlineStr">
        <is>
          <t>sheet</t>
        </is>
      </c>
      <c r="D38" s="332" t="n"/>
      <c r="E38" s="465" t="inlineStr">
        <is>
          <t>NA — no coping cleat on this job. No product, no price.</t>
        </is>
      </c>
      <c r="F38" s="139" t="n"/>
    </row>
    <row r="39" ht="20" customHeight="1" s="140">
      <c r="A39" s="211" t="inlineStr">
        <is>
          <t>Gravel stop metal</t>
        </is>
      </c>
      <c r="B39" s="181" t="inlineStr">
        <is>
          <t>24g Kynar flat  4 x 10</t>
        </is>
      </c>
      <c r="C39" s="169" t="inlineStr">
        <is>
          <t>sheet</t>
        </is>
      </c>
      <c r="D39" s="332" t="n">
        <v>80</v>
      </c>
      <c r="E39" s="231" t="inlineStr">
        <is>
          <t>QXO / metal supplier — not on Blake's sheet</t>
        </is>
      </c>
      <c r="F39" s="448" t="inlineStr">
        <is>
          <t>$80.00 a 4 ft x 10 ft sheet of 24g Kynar flat</t>
        </is>
      </c>
    </row>
    <row r="40" ht="20" customHeight="1" s="140">
      <c r="A40" s="211" t="inlineStr">
        <is>
          <t>Gravel stop cleat</t>
        </is>
      </c>
      <c r="B40" s="181" t="inlineStr">
        <is>
          <t>MAJ G90 20GA GALVANIZED 4 x 10 — QXO MAJ20G90</t>
        </is>
      </c>
      <c r="C40" s="169" t="inlineStr">
        <is>
          <t>sheet</t>
        </is>
      </c>
      <c r="D40" s="332" t="n">
        <v>58.5</v>
      </c>
      <c r="E40" s="231" t="inlineStr">
        <is>
          <t>QXO MAJ20G90 — not on Blake's sheet</t>
        </is>
      </c>
      <c r="F40" s="448" t="inlineStr">
        <is>
          <t>$58.50 a 4 ft x 10 ft sheet of 20g galv.  QXO MAJ20G90, 7/22/26 invoice UZ87925.</t>
        </is>
      </c>
    </row>
    <row r="41" ht="20" customHeight="1" s="140">
      <c r="A41" s="211" t="inlineStr">
        <is>
          <t>Counter flashing metal</t>
        </is>
      </c>
      <c r="B41" s="181" t="inlineStr">
        <is>
          <t>NA</t>
        </is>
      </c>
      <c r="C41" s="169" t="inlineStr">
        <is>
          <t>sheet</t>
        </is>
      </c>
      <c r="D41" s="332" t="n"/>
      <c r="E41" s="465" t="inlineStr">
        <is>
          <t>NA — no counter flashing metal on this job. No product, no price.</t>
        </is>
      </c>
      <c r="F41" s="139" t="n"/>
    </row>
    <row r="42" ht="20" customHeight="1" s="140">
      <c r="A42" s="211" t="inlineStr">
        <is>
          <t>Gutter metal</t>
        </is>
      </c>
      <c r="B42" s="181" t="inlineStr">
        <is>
          <t>NA</t>
        </is>
      </c>
      <c r="C42" s="169" t="inlineStr">
        <is>
          <t>sheet</t>
        </is>
      </c>
      <c r="D42" s="332" t="n"/>
      <c r="E42" s="465" t="inlineStr">
        <is>
          <t>NA — no gutter metal on this job. No product, no price.</t>
        </is>
      </c>
      <c r="F42" s="139" t="n"/>
    </row>
    <row r="43" ht="20" customHeight="1" s="140">
      <c r="A43" s="211" t="inlineStr">
        <is>
          <t>Downspout metal</t>
        </is>
      </c>
      <c r="B43" s="181" t="inlineStr">
        <is>
          <t>24g Kynar flat  4 x 10</t>
        </is>
      </c>
      <c r="C43" s="169" t="inlineStr">
        <is>
          <t>sheet</t>
        </is>
      </c>
      <c r="D43" s="332" t="n">
        <v>80</v>
      </c>
      <c r="E43" s="231" t="inlineStr">
        <is>
          <t>QXO / metal supplier — not on Blake's sheet</t>
        </is>
      </c>
      <c r="F43" s="448" t="inlineStr">
        <is>
          <t>$80.00 a 4 ft x 10 ft sheet of 24g Kynar flat</t>
        </is>
      </c>
    </row>
    <row r="44" ht="20" customHeight="1" s="140">
      <c r="A44" s="211" t="inlineStr">
        <is>
          <t>Scuppers</t>
        </is>
      </c>
      <c r="B44" s="181" t="n"/>
      <c r="C44" s="169" t="inlineStr">
        <is>
          <t>ea</t>
        </is>
      </c>
      <c r="D44" s="332" t="n">
        <v>200</v>
      </c>
      <c r="E44" s="231" t="inlineStr">
        <is>
          <t>FINAL all-in each (labor-loaded) — do NOT mark up.  Adam 9/9: "Scuppers are $200 each. Leave it at that."</t>
        </is>
      </c>
      <c r="F44" s="448" t="inlineStr">
        <is>
          <t>$200.00 each, all-in — material, labor, overhead and profit already in it. Do NOT mark up.</t>
        </is>
      </c>
    </row>
    <row r="45" ht="20" customHeight="1" s="140">
      <c r="A45" s="211" t="inlineStr">
        <is>
          <t>Collector heads</t>
        </is>
      </c>
      <c r="B45" s="181" t="n"/>
      <c r="C45" s="169" t="inlineStr">
        <is>
          <t>ea</t>
        </is>
      </c>
      <c r="D45" s="332" t="n">
        <v>300</v>
      </c>
      <c r="E45" s="231" t="inlineStr">
        <is>
          <t>FINAL all-in each (labor-loaded) — do NOT mark up.  Adam 9/9: "Collector heads $300 each. Leave it at that."</t>
        </is>
      </c>
      <c r="F45" s="448" t="inlineStr">
        <is>
          <t>$300.00 each, all-in — material, labor, overhead and profit already in it. Do NOT mark up.</t>
        </is>
      </c>
    </row>
    <row r="46" ht="20" customHeight="1" s="140">
      <c r="A46" s="211" t="inlineStr">
        <is>
          <t>Crickets  —  Scuppers / Drains  ·  2″ fill board  4 ft x 4 ft</t>
        </is>
      </c>
      <c r="B46" s="181" t="inlineStr">
        <is>
          <t>12010  Insulation ISO 2.0" (LTTR 11.4) 4x4 Fill  ·  32 BDFT/EA</t>
        </is>
      </c>
      <c r="C46" s="169" t="inlineStr">
        <is>
          <t>board</t>
        </is>
      </c>
      <c r="D46" s="332" t="n">
        <v>13.6</v>
      </c>
      <c r="E46" s="231" t="n"/>
      <c r="F46" s="448" t="inlineStr">
        <is>
          <t>4x4 = 16 sf.  16 sf x 2.0 in = 32 board-feet.  32 x $0.425/bdft  =  $13.60 a board</t>
        </is>
      </c>
    </row>
    <row r="47" ht="20" customHeight="1" s="140">
      <c r="A47" s="211" t="inlineStr">
        <is>
          <t>Retro drains</t>
        </is>
      </c>
      <c r="B47" s="181" t="inlineStr">
        <is>
          <t>retro drain</t>
        </is>
      </c>
      <c r="C47" s="169" t="inlineStr">
        <is>
          <t>ea</t>
        </is>
      </c>
      <c r="D47" s="332" t="n">
        <v>300</v>
      </c>
      <c r="E47" s="231" t="inlineStr">
        <is>
          <t>ESTIMATE — not a quoted price. Confirm before this bid goes out.</t>
        </is>
      </c>
      <c r="F47" s="139" t="inlineStr">
        <is>
          <t>$300.00 each.</t>
        </is>
      </c>
    </row>
    <row r="48" ht="20" customHeight="1" s="140">
      <c r="A48" s="211" t="inlineStr">
        <is>
          <t>2 x 8 nailer</t>
        </is>
      </c>
      <c r="B48" s="181" t="inlineStr">
        <is>
          <t>2 x 8 pressure-treated, 10 ft boards</t>
        </is>
      </c>
      <c r="C48" s="169" t="inlineStr">
        <is>
          <t>LF</t>
        </is>
      </c>
      <c r="D48" s="332" t="n">
        <v>1</v>
      </c>
      <c r="E48" s="231" t="inlineStr">
        <is>
          <t>lumber yard</t>
        </is>
      </c>
      <c r="F48" s="448" t="inlineStr">
        <is>
          <t>$10.00 a 10 ft board of 2x8 pressure-treated  =  $1.00 a linear foot</t>
        </is>
      </c>
    </row>
    <row r="49" ht="20" customHeight="1" s="140">
      <c r="A49" s="211" t="inlineStr">
        <is>
          <t>7/16" OSB  —  wall face</t>
        </is>
      </c>
      <c r="B49" s="181" t="inlineStr">
        <is>
          <t>7/16" OSB 4 x 8</t>
        </is>
      </c>
      <c r="C49" s="169" t="inlineStr">
        <is>
          <t>sheet</t>
        </is>
      </c>
      <c r="D49" s="332" t="n">
        <v>15</v>
      </c>
      <c r="E49" s="231" t="inlineStr">
        <is>
          <t>lumber yard</t>
        </is>
      </c>
      <c r="F49" s="448" t="inlineStr">
        <is>
          <t>$15.00 a 4 ft x 8 ft sheet of 7/16 in OSB</t>
        </is>
      </c>
    </row>
    <row r="50" ht="20" customHeight="1" s="140">
      <c r="A50" s="211" t="inlineStr">
        <is>
          <t>Fasteners  3" #14  —  blocking &amp; sheathing</t>
        </is>
      </c>
      <c r="B50" s="181" t="inlineStr">
        <is>
          <t>20018  GAF Drill-Tec 3" #14 Fastener  ·  #3 Phillips  ·  1000/EA</t>
        </is>
      </c>
      <c r="C50" s="169" t="inlineStr">
        <is>
          <t>box</t>
        </is>
      </c>
      <c r="D50" s="332" t="n">
        <v>218.94</v>
      </c>
      <c r="E50" s="231" t="n"/>
      <c r="F50" s="448" t="inlineStr">
        <is>
          <t>$218.94 a box of 1,000  =  $0.219 a screw</t>
        </is>
      </c>
    </row>
    <row r="51" ht="8" customHeight="1" s="140">
      <c r="A51" s="211" t="n"/>
      <c r="B51" s="181" t="n"/>
      <c r="C51" s="169" t="n"/>
      <c r="D51" s="332" t="n"/>
      <c r="E51" s="231" t="n"/>
      <c r="F51" s="139" t="n"/>
    </row>
    <row r="52" ht="20" customHeight="1" s="140">
      <c r="A52" s="211" t="inlineStr">
        <is>
          <t>Seam fasteners  #15  —  7"</t>
        </is>
      </c>
      <c r="B52" s="181" t="inlineStr">
        <is>
          <t>20039  GAF Drill-Tec 7" #15 Washer Head Fastener  ·  #3 Phillips  ·  500/EA</t>
        </is>
      </c>
      <c r="C52" s="169" t="inlineStr">
        <is>
          <t>box</t>
        </is>
      </c>
      <c r="D52" s="332" t="n">
        <v>369.73</v>
      </c>
      <c r="E52" s="231" t="inlineStr">
        <is>
          <t>for the crickets</t>
        </is>
      </c>
      <c r="F52" s="139" t="inlineStr">
        <is>
          <t>$369.73 a box of 500  =  $0.739 a screw</t>
        </is>
      </c>
    </row>
    <row r="53" ht="20" customHeight="1" s="140">
      <c r="A53" s="211" t="inlineStr">
        <is>
          <t>Seam fasteners  #15  —  8"</t>
        </is>
      </c>
      <c r="B53" s="181" t="inlineStr">
        <is>
          <t>20040  GAF Drill-Tec 8" #15 Washer Head Fastener  ·  #3 Phillips  ·  500/EA</t>
        </is>
      </c>
      <c r="C53" s="169" t="inlineStr">
        <is>
          <t>box</t>
        </is>
      </c>
      <c r="D53" s="332" t="n">
        <v>449.6</v>
      </c>
      <c r="E53" s="231" t="inlineStr">
        <is>
          <t>for the crickets</t>
        </is>
      </c>
      <c r="F53" s="139" t="inlineStr">
        <is>
          <t>$449.60 a box of 500  =  $0.899 a screw</t>
        </is>
      </c>
    </row>
    <row r="54" ht="20" customHeight="1" s="140">
      <c r="A54" s="211" t="inlineStr">
        <is>
          <t>TPO wall membrane 5'</t>
        </is>
      </c>
      <c r="B54" s="181" t="inlineStr">
        <is>
          <t>31014  GAF TPO .060 Wht 5'X100'  ·  5 SQ/ROLL</t>
        </is>
      </c>
      <c r="C54" s="169" t="inlineStr">
        <is>
          <t>roll</t>
        </is>
      </c>
      <c r="D54" s="332" t="n">
        <v>355</v>
      </c>
      <c r="E54" s="231" t="inlineStr">
        <is>
          <t>same roll as the field 5 ft — one product, two lines</t>
        </is>
      </c>
      <c r="F54" s="448" t="inlineStr">
        <is>
          <t>$0.710/sf x 500 sf  (5 ft x 100 ft roll)  =  $355.00 a roll</t>
        </is>
      </c>
    </row>
    <row r="55" ht="20" customHeight="1" s="140">
      <c r="A55" s="211" t="inlineStr">
        <is>
          <t>Material delivery</t>
        </is>
      </c>
      <c r="B55" s="181" t="inlineStr">
        <is>
          <t>delivery truck</t>
        </is>
      </c>
      <c r="C55" s="169" t="inlineStr">
        <is>
          <t>delivery</t>
        </is>
      </c>
      <c r="D55" s="332" t="n">
        <v>300</v>
      </c>
      <c r="E55" s="231" t="inlineStr">
        <is>
          <t>HOUSTON — $300 a delivery on this job. Normal rate is $200. One delivery every 50 squares, every bid.</t>
        </is>
      </c>
      <c r="F55" s="448" t="inlineStr">
        <is>
          <t>$300.00 a delivery (Houston rate; normal is $200)</t>
        </is>
      </c>
    </row>
    <row r="56" ht="20" customHeight="1" s="140">
      <c r="A56" s="211" t="inlineStr">
        <is>
          <t>Metal delivery</t>
        </is>
      </c>
      <c r="B56" s="181" t="inlineStr">
        <is>
          <t>delivery truck</t>
        </is>
      </c>
      <c r="C56" s="169" t="inlineStr">
        <is>
          <t>delivery</t>
        </is>
      </c>
      <c r="D56" s="332" t="n">
        <v>200</v>
      </c>
      <c r="E56" s="231" t="inlineStr">
        <is>
          <t>$200 a delivery. Normally ONE covers the metal; this job is in Houston, so 3.</t>
        </is>
      </c>
      <c r="F56" s="139" t="inlineStr">
        <is>
          <t>$200.00 a delivery x 3 trips</t>
        </is>
      </c>
    </row>
  </sheetData>
  <mergeCells count="2">
    <mergeCell ref="A2:F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39" min="1" max="1"/>
    <col width="22" customWidth="1" style="139" min="2" max="2"/>
    <col width="20" customWidth="1" style="139" min="3" max="3"/>
    <col width="14" customWidth="1" style="139" min="4" max="4"/>
    <col width="34" customWidth="1" style="139" min="5" max="5"/>
    <col width="4" customWidth="1" style="139" min="6" max="6"/>
  </cols>
  <sheetData>
    <row r="1" ht="22" customHeight="1" s="140">
      <c r="A1" s="228" t="inlineStr">
        <is>
          <t>PLAN REFERENCE  —  job:</t>
        </is>
      </c>
    </row>
    <row r="2" ht="32" customHeight="1" s="140">
      <c r="A2" s="433" t="inlineStr">
        <is>
          <t>Where the wall numbers on the Takeoff page came from. Reference only — nothing here feeds a calculation. Read every job off its own plans.</t>
        </is>
      </c>
    </row>
    <row r="3" ht="8" customHeight="1" s="140">
      <c r="A3" s="348" t="n"/>
      <c r="B3" s="348" t="n"/>
      <c r="C3" s="348" t="n"/>
      <c r="D3" s="348" t="n"/>
      <c r="E3" s="348" t="n"/>
      <c r="F3" s="348" t="n"/>
      <c r="G3" s="348" t="n"/>
      <c r="H3" s="348" t="n"/>
      <c r="I3" s="348" t="n"/>
      <c r="J3" s="348" t="n"/>
      <c r="K3" s="348" t="n"/>
      <c r="L3" s="348" t="n"/>
      <c r="M3" s="348" t="n"/>
    </row>
    <row r="4" ht="32" customHeight="1" s="140">
      <c r="A4" s="436" t="inlineStr">
        <is>
          <t>WALL SECTIONS — sheet numbers and the scale they are drawn at</t>
        </is>
      </c>
    </row>
    <row r="5" ht="20" customHeight="1" s="140">
      <c r="A5" s="165" t="inlineStr">
        <is>
          <t>Condition</t>
        </is>
      </c>
      <c r="B5" s="165" t="inlineStr">
        <is>
          <t>T.O. parapet</t>
        </is>
      </c>
      <c r="C5" s="165" t="inlineStr">
        <is>
          <t>Parapet above deck</t>
        </is>
      </c>
      <c r="D5" s="165" t="inlineStr">
        <is>
          <t>Cap width</t>
        </is>
      </c>
      <c r="E5" s="165" t="inlineStr">
        <is>
          <t>Sections</t>
        </is>
      </c>
    </row>
    <row r="6" ht="8" customHeight="1" s="140">
      <c r="A6" s="348" t="n"/>
      <c r="B6" s="348" t="n"/>
      <c r="C6" s="348" t="n"/>
      <c r="D6" s="348" t="n"/>
      <c r="E6" s="348" t="n"/>
      <c r="F6" s="348" t="n"/>
      <c r="G6" s="348" t="n"/>
      <c r="H6" s="348" t="n"/>
      <c r="I6" s="348" t="n"/>
      <c r="J6" s="348" t="n"/>
      <c r="K6" s="348" t="n"/>
      <c r="L6" s="348" t="n"/>
      <c r="M6" s="348" t="n"/>
    </row>
    <row r="7" ht="8" customHeight="1" s="140">
      <c r="A7" s="348" t="n"/>
      <c r="B7" s="348" t="n"/>
      <c r="C7" s="348" t="n"/>
      <c r="D7" s="348" t="n"/>
      <c r="E7" s="348" t="n"/>
      <c r="F7" s="348" t="n"/>
      <c r="G7" s="348" t="n"/>
      <c r="H7" s="348" t="n"/>
      <c r="I7" s="348" t="n"/>
      <c r="J7" s="348" t="n"/>
      <c r="K7" s="348" t="n"/>
      <c r="L7" s="348" t="n"/>
      <c r="M7" s="348" t="n"/>
    </row>
    <row r="8" ht="8" customHeight="1" s="140">
      <c r="A8" s="348" t="n"/>
      <c r="B8" s="348" t="n"/>
      <c r="C8" s="348" t="n"/>
      <c r="D8" s="348" t="n"/>
      <c r="E8" s="348" t="n"/>
      <c r="F8" s="348" t="n"/>
      <c r="G8" s="348" t="n"/>
      <c r="H8" s="348" t="n"/>
      <c r="I8" s="348" t="n"/>
      <c r="J8" s="348" t="n"/>
      <c r="K8" s="348" t="n"/>
      <c r="L8" s="348" t="n"/>
      <c r="M8" s="348" t="n"/>
    </row>
    <row r="9" ht="8" customHeight="1" s="140">
      <c r="A9" s="348" t="n"/>
      <c r="B9" s="348" t="n"/>
      <c r="C9" s="348" t="n"/>
      <c r="D9" s="348" t="n"/>
      <c r="E9" s="348" t="n"/>
      <c r="F9" s="348" t="n"/>
      <c r="G9" s="348" t="n"/>
      <c r="H9" s="348" t="n"/>
      <c r="I9" s="348" t="n"/>
      <c r="J9" s="348" t="n"/>
      <c r="K9" s="348" t="n"/>
      <c r="L9" s="348" t="n"/>
      <c r="M9" s="348" t="n"/>
    </row>
    <row r="10" ht="8" customHeight="1" s="140">
      <c r="A10" s="348" t="n"/>
      <c r="B10" s="348" t="n"/>
      <c r="C10" s="348" t="n"/>
      <c r="D10" s="348" t="n"/>
      <c r="E10" s="348" t="n"/>
      <c r="F10" s="348" t="n"/>
      <c r="G10" s="348" t="n"/>
      <c r="H10" s="348" t="n"/>
      <c r="I10" s="348" t="n"/>
      <c r="J10" s="348" t="n"/>
      <c r="K10" s="348" t="n"/>
      <c r="L10" s="348" t="n"/>
      <c r="M10" s="348" t="n"/>
    </row>
    <row r="11" ht="32" customHeight="1" s="140">
      <c r="A11" s="442" t="inlineStr">
        <is>
          <t>Check the printed cap dimensions against the scale before trusting any of it. A parapet FRAMING height is not the height above the roof deck.</t>
        </is>
      </c>
    </row>
    <row r="12" ht="8" customHeight="1" s="140">
      <c r="A12" s="348" t="n"/>
      <c r="B12" s="348" t="n"/>
      <c r="C12" s="348" t="n"/>
      <c r="D12" s="348" t="n"/>
      <c r="E12" s="348" t="n"/>
      <c r="F12" s="348" t="n"/>
      <c r="G12" s="348" t="n"/>
      <c r="H12" s="348" t="n"/>
      <c r="I12" s="348" t="n"/>
      <c r="J12" s="348" t="n"/>
      <c r="K12" s="348" t="n"/>
      <c r="L12" s="348" t="n"/>
      <c r="M12" s="348" t="n"/>
    </row>
    <row r="13" ht="8" customHeight="1" s="140">
      <c r="A13" s="348" t="n"/>
      <c r="B13" s="348" t="n"/>
      <c r="C13" s="348" t="n"/>
      <c r="D13" s="348" t="n"/>
      <c r="E13" s="348" t="n"/>
      <c r="F13" s="348" t="n"/>
      <c r="G13" s="348" t="n"/>
      <c r="H13" s="348" t="n"/>
      <c r="I13" s="348" t="n"/>
      <c r="J13" s="348" t="n"/>
      <c r="K13" s="348" t="n"/>
      <c r="L13" s="348" t="n"/>
      <c r="M13" s="348" t="n"/>
    </row>
    <row r="14" ht="8" customHeight="1" s="140">
      <c r="A14" s="348" t="n"/>
      <c r="B14" s="348" t="n"/>
      <c r="C14" s="348" t="n"/>
      <c r="D14" s="348" t="n"/>
      <c r="E14" s="348" t="n"/>
      <c r="F14" s="348" t="n"/>
      <c r="G14" s="348" t="n"/>
      <c r="H14" s="348" t="n"/>
      <c r="I14" s="348" t="n"/>
      <c r="J14" s="348" t="n"/>
      <c r="K14" s="348" t="n"/>
      <c r="L14" s="348" t="n"/>
      <c r="M14" s="348" t="n"/>
    </row>
    <row r="15" ht="8" customHeight="1" s="140">
      <c r="A15" s="348" t="n"/>
      <c r="B15" s="348" t="n"/>
      <c r="C15" s="348" t="n"/>
      <c r="D15" s="348" t="n"/>
      <c r="E15" s="348" t="n"/>
      <c r="F15" s="348" t="n"/>
      <c r="G15" s="348" t="n"/>
      <c r="H15" s="348" t="n"/>
      <c r="I15" s="348" t="n"/>
      <c r="J15" s="348" t="n"/>
      <c r="K15" s="348" t="n"/>
      <c r="L15" s="348" t="n"/>
      <c r="M15" s="348" t="n"/>
    </row>
    <row r="16" ht="8" customHeight="1" s="140">
      <c r="A16" s="348" t="n"/>
      <c r="B16" s="348" t="n"/>
      <c r="C16" s="348" t="n"/>
      <c r="D16" s="348" t="n"/>
      <c r="E16" s="348" t="n"/>
      <c r="F16" s="348" t="n"/>
      <c r="G16" s="348" t="n"/>
      <c r="H16" s="348" t="n"/>
      <c r="I16" s="348" t="n"/>
      <c r="J16" s="348" t="n"/>
      <c r="K16" s="348" t="n"/>
      <c r="L16" s="348" t="n"/>
      <c r="M16" s="348" t="n"/>
    </row>
    <row r="17" ht="8" customHeight="1" s="140">
      <c r="A17" s="348" t="n"/>
      <c r="B17" s="348" t="n"/>
      <c r="C17" s="348" t="n"/>
      <c r="D17" s="348" t="n"/>
      <c r="E17" s="348" t="n"/>
      <c r="F17" s="348" t="n"/>
      <c r="G17" s="348" t="n"/>
      <c r="H17" s="348" t="n"/>
      <c r="I17" s="348" t="n"/>
      <c r="J17" s="348" t="n"/>
      <c r="K17" s="348" t="n"/>
      <c r="L17" s="348" t="n"/>
      <c r="M17" s="348" t="n"/>
    </row>
    <row r="18" ht="8" customHeight="1" s="140">
      <c r="A18" s="348" t="n"/>
      <c r="B18" s="348" t="n"/>
      <c r="C18" s="348" t="n"/>
      <c r="D18" s="348" t="n"/>
      <c r="E18" s="348" t="n"/>
      <c r="F18" s="348" t="n"/>
      <c r="G18" s="348" t="n"/>
      <c r="H18" s="348" t="n"/>
      <c r="I18" s="348" t="n"/>
      <c r="J18" s="348" t="n"/>
      <c r="K18" s="348" t="n"/>
      <c r="L18" s="348" t="n"/>
      <c r="M18" s="348" t="n"/>
    </row>
    <row r="19" ht="8" customHeight="1" s="140">
      <c r="A19" s="348" t="n"/>
      <c r="B19" s="348" t="n"/>
      <c r="C19" s="348" t="n"/>
      <c r="D19" s="348" t="n"/>
      <c r="E19" s="348" t="n"/>
      <c r="F19" s="348" t="n"/>
      <c r="G19" s="348" t="n"/>
      <c r="H19" s="348" t="n"/>
      <c r="I19" s="348" t="n"/>
      <c r="J19" s="348" t="n"/>
      <c r="K19" s="348" t="n"/>
      <c r="L19" s="348" t="n"/>
      <c r="M19" s="348" t="n"/>
    </row>
    <row r="20" ht="8" customHeight="1" s="140">
      <c r="A20" s="348" t="n"/>
      <c r="B20" s="348" t="n"/>
      <c r="C20" s="348" t="n"/>
      <c r="D20" s="348" t="n"/>
      <c r="E20" s="348" t="n"/>
      <c r="F20" s="348" t="n"/>
      <c r="G20" s="348" t="n"/>
      <c r="H20" s="348" t="n"/>
      <c r="I20" s="348" t="n"/>
      <c r="J20" s="348" t="n"/>
      <c r="K20" s="348" t="n"/>
      <c r="L20" s="348" t="n"/>
      <c r="M20" s="348" t="n"/>
    </row>
    <row r="21" ht="8" customHeight="1" s="140">
      <c r="A21" s="348" t="n"/>
      <c r="B21" s="348" t="n"/>
      <c r="C21" s="348" t="n"/>
      <c r="D21" s="348" t="n"/>
      <c r="E21" s="348" t="n"/>
      <c r="F21" s="348" t="n"/>
      <c r="G21" s="348" t="n"/>
      <c r="H21" s="348" t="n"/>
      <c r="I21" s="348" t="n"/>
      <c r="J21" s="348" t="n"/>
      <c r="K21" s="348" t="n"/>
      <c r="L21" s="348" t="n"/>
      <c r="M21" s="348" t="n"/>
    </row>
    <row r="22" ht="22" customHeight="1" s="140">
      <c r="A22" s="247" t="inlineStr">
        <is>
          <t>TERMINATION</t>
        </is>
      </c>
    </row>
    <row r="23" ht="32" customHeight="1" s="140">
      <c r="A23" s="442" t="inlineStr">
        <is>
          <t>How every section terminates — write it here off this job's details.</t>
        </is>
      </c>
    </row>
  </sheetData>
  <mergeCells count="6">
    <mergeCell ref="A4:E4"/>
    <mergeCell ref="A2:E2"/>
    <mergeCell ref="A11:E11"/>
    <mergeCell ref="A1:E1"/>
    <mergeCell ref="A23:E23"/>
    <mergeCell ref="A22:E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M18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39" min="1" max="1"/>
    <col width="14" customWidth="1" style="139" min="2" max="2"/>
    <col width="10" customWidth="1" style="139" min="3" max="3"/>
    <col width="12" customWidth="1" style="139" min="4" max="4"/>
    <col width="30" customWidth="1" style="139" min="5" max="5"/>
    <col width="12" customWidth="1" style="139" min="6" max="6"/>
    <col width="10" customWidth="1" style="139" min="7" max="7"/>
    <col width="11" customWidth="1" style="139" min="8" max="8"/>
    <col width="4" customWidth="1" style="139" min="9" max="9"/>
  </cols>
  <sheetData>
    <row r="1" ht="22" customHeight="1" s="140">
      <c r="A1" s="141" t="inlineStr">
        <is>
          <t>MATERIAL TAKEOFF  —  MECHANICALLY ATTACHED TPO</t>
        </is>
      </c>
    </row>
    <row r="2" ht="32" customHeight="1" s="140">
      <c r="A2" s="433" t="inlineStr">
        <is>
          <t>PAGE TWO. Nothing is typed here except a FACTOR. Every driver reads live off the Takeoff page. Each line: DRIVER  x/÷  FACTOR  =  RAW  →  QTY.</t>
        </is>
      </c>
    </row>
    <row r="3" ht="8" customHeight="1" s="140">
      <c r="A3" s="348" t="n"/>
      <c r="B3" s="348" t="n"/>
      <c r="C3" s="348" t="n"/>
      <c r="D3" s="348" t="n"/>
      <c r="E3" s="348" t="n"/>
      <c r="F3" s="348" t="n"/>
      <c r="G3" s="348" t="n"/>
      <c r="H3" s="348" t="n"/>
      <c r="I3" s="348" t="n"/>
      <c r="J3" s="348" t="n"/>
      <c r="K3" s="348" t="n"/>
      <c r="L3" s="348" t="n"/>
      <c r="M3" s="348" t="n"/>
    </row>
    <row r="4" ht="22" customHeight="1" s="140">
      <c r="A4" s="143" t="inlineStr">
        <is>
          <t>1 · SQUARES</t>
        </is>
      </c>
    </row>
    <row r="5" ht="20" customHeight="1" s="140">
      <c r="A5" s="165" t="inlineStr">
        <is>
          <t>Item</t>
        </is>
      </c>
      <c r="B5" s="165" t="inlineStr">
        <is>
          <t>Driver</t>
        </is>
      </c>
      <c r="C5" s="165" t="inlineStr">
        <is>
          <t>Unit</t>
        </is>
      </c>
      <c r="D5" s="165" t="n"/>
      <c r="E5" s="165" t="inlineStr">
        <is>
          <t>Where it comes from</t>
        </is>
      </c>
      <c r="F5" s="165" t="n"/>
      <c r="G5" s="165" t="inlineStr">
        <is>
          <t>Squares</t>
        </is>
      </c>
      <c r="H5" s="165" t="n"/>
    </row>
    <row r="6" ht="20" customHeight="1" s="140">
      <c r="A6" s="145" t="inlineStr">
        <is>
          <t>Field squares</t>
        </is>
      </c>
      <c r="B6" s="187">
        <f>IFERROR(Takeoff!B20,"")</f>
        <v/>
      </c>
      <c r="C6" s="169" t="inlineStr">
        <is>
          <t>sf</t>
        </is>
      </c>
      <c r="D6" s="263" t="n"/>
      <c r="E6" s="167" t="inlineStr">
        <is>
          <t>Takeoff A · field squares</t>
        </is>
      </c>
      <c r="F6" s="189" t="n"/>
      <c r="G6" s="188">
        <f>IFERROR(ROUNDUP(B6/100,0),"")</f>
        <v/>
      </c>
      <c r="H6" s="169" t="inlineStr">
        <is>
          <t>sq</t>
        </is>
      </c>
    </row>
    <row r="7" ht="8" customHeight="1" s="140">
      <c r="A7" s="348" t="n"/>
      <c r="B7" s="348" t="n"/>
      <c r="C7" s="348" t="n"/>
      <c r="D7" s="348" t="n"/>
      <c r="E7" s="348" t="n"/>
      <c r="F7" s="348" t="n"/>
      <c r="G7" s="348" t="n"/>
      <c r="H7" s="348" t="n"/>
      <c r="I7" s="348" t="n"/>
      <c r="J7" s="348" t="n"/>
      <c r="K7" s="348" t="n"/>
      <c r="L7" s="348" t="n"/>
      <c r="M7" s="348" t="n"/>
    </row>
    <row r="8" ht="20" customHeight="1" s="140">
      <c r="A8" s="145" t="inlineStr">
        <is>
          <t>Wall squares</t>
        </is>
      </c>
      <c r="B8" s="187">
        <f>IFERROR(Takeoff!H46,"")</f>
        <v/>
      </c>
      <c r="C8" s="169" t="inlineStr">
        <is>
          <t>sf</t>
        </is>
      </c>
      <c r="D8" s="263" t="n"/>
      <c r="E8" s="167" t="inlineStr">
        <is>
          <t>Takeoff C · total wall sq ft</t>
        </is>
      </c>
      <c r="F8" s="189" t="n"/>
      <c r="G8" s="188">
        <f>IFERROR(ROUNDUP(B8/100,0),"")</f>
        <v/>
      </c>
      <c r="H8" s="169" t="inlineStr">
        <is>
          <t>sq</t>
        </is>
      </c>
    </row>
    <row r="9" ht="20" customHeight="1" s="140">
      <c r="A9" s="145" t="inlineStr">
        <is>
          <t>TOTAL SQUARES  (field + walls)</t>
        </is>
      </c>
      <c r="B9" s="187" t="n"/>
      <c r="C9" s="169" t="n"/>
      <c r="D9" s="263" t="n"/>
      <c r="E9" s="167" t="inlineStr">
        <is>
          <t>field squares + wall squares</t>
        </is>
      </c>
      <c r="F9" s="189" t="n"/>
      <c r="G9" s="188">
        <f>IFERROR(N(G6)+N(G8),"")</f>
        <v/>
      </c>
      <c r="H9" s="169" t="inlineStr">
        <is>
          <t>sq</t>
        </is>
      </c>
    </row>
    <row r="10" ht="32" customHeight="1" s="140">
      <c r="A10" s="441">
        <f>"Field "&amp;TEXT(G6,"0")&amp;" sq  ·  walls "&amp;TEXT(G8,"0")&amp;" sq  ·  TOTAL "&amp;TEXT(G9,"0")&amp;" sq. Squares always round UP."</f>
        <v/>
      </c>
    </row>
    <row r="11" ht="8" customHeight="1" s="140">
      <c r="A11" s="348" t="n"/>
      <c r="B11" s="348" t="n"/>
      <c r="C11" s="348" t="n"/>
      <c r="D11" s="348" t="n"/>
      <c r="E11" s="348" t="n"/>
      <c r="F11" s="348" t="n"/>
      <c r="G11" s="348" t="n"/>
      <c r="H11" s="348" t="n"/>
      <c r="I11" s="348" t="n"/>
      <c r="J11" s="348" t="n"/>
      <c r="K11" s="348" t="n"/>
      <c r="L11" s="348" t="n"/>
      <c r="M11" s="348" t="n"/>
    </row>
    <row r="12" ht="22" customHeight="1" s="140">
      <c r="A12" s="143" t="inlineStr">
        <is>
          <t>2 · INSULATION</t>
        </is>
      </c>
    </row>
    <row r="13" ht="20" customHeight="1" s="140">
      <c r="A13" s="165" t="inlineStr">
        <is>
          <t>Item</t>
        </is>
      </c>
      <c r="B13" s="165" t="inlineStr">
        <is>
          <t>Driver</t>
        </is>
      </c>
      <c r="C13" s="165" t="inlineStr">
        <is>
          <t>Unit</t>
        </is>
      </c>
      <c r="D13" s="165" t="inlineStr">
        <is>
          <t>Factor</t>
        </is>
      </c>
      <c r="E13" s="165" t="inlineStr">
        <is>
          <t>What the factor means</t>
        </is>
      </c>
      <c r="F13" s="165" t="inlineStr">
        <is>
          <t>RAW</t>
        </is>
      </c>
      <c r="G13" s="165" t="inlineStr">
        <is>
          <t>Qty</t>
        </is>
      </c>
      <c r="H13" s="165" t="inlineStr">
        <is>
          <t>Pkg</t>
        </is>
      </c>
    </row>
    <row r="14" ht="20" customHeight="1" s="140">
      <c r="A14" s="145" t="inlineStr">
        <is>
          <t>Polyiso  —  field of the roof</t>
        </is>
      </c>
      <c r="B14" s="187">
        <f>IFERROR(G6,"")</f>
        <v/>
      </c>
      <c r="C14" s="169" t="inlineStr">
        <is>
          <t>sq</t>
        </is>
      </c>
      <c r="D14" s="263" t="n">
        <v>3</v>
      </c>
      <c r="E14" s="167" t="inlineStr">
        <is>
          <t>field squares x 3</t>
        </is>
      </c>
      <c r="F14" s="189">
        <f>IFERROR(IF(OR(B14="",D14=""),"",B14*D14),"")</f>
        <v/>
      </c>
      <c r="G14" s="188">
        <f>IFERROR(IF(F14="","",ROUNDUP(F14,0)),"")</f>
        <v/>
      </c>
      <c r="H14" s="169" t="inlineStr">
        <is>
          <t>board</t>
        </is>
      </c>
    </row>
    <row r="15" ht="8" customHeight="1" s="140">
      <c r="A15" s="348" t="n"/>
      <c r="B15" s="348" t="n"/>
      <c r="C15" s="348" t="n"/>
      <c r="D15" s="348" t="n"/>
      <c r="E15" s="348" t="n"/>
      <c r="F15" s="348" t="n"/>
      <c r="G15" s="348" t="n"/>
      <c r="H15" s="348" t="n"/>
      <c r="I15" s="348" t="n"/>
      <c r="J15" s="348" t="n"/>
      <c r="K15" s="348" t="n"/>
      <c r="L15" s="348" t="n"/>
      <c r="M15" s="348" t="n"/>
    </row>
    <row r="16" ht="8" customHeight="1" s="140">
      <c r="A16" s="348" t="n"/>
      <c r="B16" s="348" t="n"/>
      <c r="C16" s="348" t="n"/>
      <c r="D16" s="348" t="n"/>
      <c r="E16" s="348" t="n"/>
      <c r="F16" s="348" t="n"/>
      <c r="G16" s="348" t="n"/>
      <c r="H16" s="348" t="n"/>
      <c r="I16" s="348" t="n"/>
      <c r="J16" s="348" t="n"/>
      <c r="K16" s="348" t="n"/>
      <c r="L16" s="348" t="n"/>
      <c r="M16" s="348" t="n"/>
    </row>
    <row r="17" ht="32" customHeight="1" s="140">
      <c r="A17" s="441" t="inlineStr">
        <is>
          <t>"Squares x 3 = boards. Flat — no waste factor, because in the field those boards never seat like they did in the factory: an eighth of an inch between every one, cuts around everything, and a perimeter that is never snug to the wall. That IS the waste, and 3 covers it."</t>
        </is>
      </c>
    </row>
    <row r="18" ht="8" customHeight="1" s="140">
      <c r="A18" s="348" t="n"/>
      <c r="B18" s="348" t="n"/>
      <c r="C18" s="348" t="n"/>
      <c r="D18" s="348" t="n"/>
      <c r="E18" s="348" t="n"/>
      <c r="F18" s="348" t="n"/>
      <c r="G18" s="348" t="n"/>
      <c r="H18" s="348" t="n"/>
      <c r="I18" s="348" t="n"/>
      <c r="J18" s="348" t="n"/>
      <c r="K18" s="348" t="n"/>
      <c r="L18" s="348" t="n"/>
      <c r="M18" s="348" t="n"/>
    </row>
    <row r="19" ht="22" customHeight="1" s="140">
      <c r="A19" s="143" t="inlineStr">
        <is>
          <t>2b · Q BOARD   —   2" tapered filler for the crickets</t>
        </is>
      </c>
    </row>
    <row r="20" ht="32" customHeight="1" s="140">
      <c r="A20" s="441" t="inlineStr">
        <is>
          <t>"THE LAYOUT WINS. If the takeoff app drew this roof, its board count is the number — it lays the boards out one at a time and counts the leftovers. Only when there is no layout does the sheet fall back to cricket LF x 1.2 ÷ 4 ft board. 4″ and 2″ fill are two different boards off two different pallets and never get added together."</t>
        </is>
      </c>
    </row>
    <row r="21" ht="20" customHeight="1" s="140">
      <c r="A21" s="165" t="inlineStr">
        <is>
          <t>Item</t>
        </is>
      </c>
      <c r="B21" s="165" t="inlineStr">
        <is>
          <t>Q board FROM THE LAYOUT</t>
        </is>
      </c>
      <c r="C21" s="165" t="inlineStr">
        <is>
          <t>Unit</t>
        </is>
      </c>
      <c r="D21" s="165" t="inlineStr">
        <is>
          <t>2″ fill FROM THE LAYOUT</t>
        </is>
      </c>
      <c r="E21" s="165" t="inlineStr">
        <is>
          <t>Cricket LF  (only if there is no layout)</t>
        </is>
      </c>
      <c r="F21" s="165" t="inlineStr">
        <is>
          <t>Fallback boards</t>
        </is>
      </c>
      <c r="G21" s="165" t="inlineStr">
        <is>
          <t>BOARDS USED</t>
        </is>
      </c>
      <c r="H21" s="165" t="inlineStr">
        <is>
          <t>Pkg</t>
        </is>
      </c>
      <c r="J21" s="318" t="inlineStr">
        <is>
          <t>Where the number came from</t>
        </is>
      </c>
    </row>
    <row r="22" ht="20" customHeight="1" s="140">
      <c r="A22" s="145" t="inlineStr">
        <is>
          <t>Crickets  —  Units</t>
        </is>
      </c>
      <c r="B22" s="187" t="n"/>
      <c r="C22" s="169" t="inlineStr">
        <is>
          <t>bd</t>
        </is>
      </c>
      <c r="D22" s="263" t="n"/>
      <c r="E22" s="167" t="n"/>
      <c r="F22" s="189">
        <f>IFERROR(IF(E22="","",ROUNDUP(E22*1.2/4,0)),"")</f>
        <v/>
      </c>
      <c r="G22" s="188">
        <f>IFERROR(IF(B22&lt;&gt;"",B22,IF(F22&lt;&gt;"",F22,"")),"")</f>
        <v/>
      </c>
      <c r="H22" s="169" t="inlineStr">
        <is>
          <t>board</t>
        </is>
      </c>
      <c r="I22" s="177" t="inlineStr">
        <is>
          <t>52 units, one cricket per unit curb. 294.32 ft of leading edge on the layout. This scope can come out of the quote on its own.</t>
        </is>
      </c>
      <c r="J22" s="450">
        <f>IF(B22&lt;&gt;"","from the layout — the app counted the boards",IF(E22&lt;&gt;"","no layout, so LF x 1.2 ÷ 4","nothing to go on yet"))</f>
        <v/>
      </c>
    </row>
    <row r="23" ht="20" customHeight="1" s="140">
      <c r="A23" s="145" t="inlineStr">
        <is>
          <t>Crickets  —  Scuppers / Drains</t>
        </is>
      </c>
      <c r="B23" s="187" t="n"/>
      <c r="C23" s="169" t="inlineStr">
        <is>
          <t>bd</t>
        </is>
      </c>
      <c r="D23" s="263" t="n"/>
      <c r="E23" s="167" t="n"/>
      <c r="F23" s="189">
        <f>IFERROR(IF(E23="","",ROUNDUP(E23*1.2/4,0)),"")</f>
        <v/>
      </c>
      <c r="G23" s="188">
        <f>IFERROR(IF(B23&lt;&gt;"",B23,IF(F23&lt;&gt;"",F23,"")),"")</f>
        <v/>
      </c>
      <c r="H23" s="169" t="inlineStr">
        <is>
          <t>board</t>
        </is>
      </c>
      <c r="I23" s="177" t="inlineStr">
        <is>
          <t>7 crickets steering water to the scuppers and drains. 344.64 ft of leading edge on the layout. These have to be there.</t>
        </is>
      </c>
      <c r="J23" s="450">
        <f>IF(B23&lt;&gt;"","from the layout — the app counted the boards",IF(E23&lt;&gt;"","no layout, so LF x 1.2 ÷ 4","nothing to go on yet"))</f>
        <v/>
      </c>
    </row>
    <row r="24" ht="32" customHeight="1" s="140">
      <c r="A24" s="441">
        <f>"Units  "&amp;TEXT(N(G22),"0")&amp;" Q board.   Scuppers/Drains  "&amp;TEXT(N(G23),"0")&amp;" Q board + "&amp;TEXT(N(D23),"0")&amp;" pieces of 2″ fill at 4 ft x 4 ft.   "&amp;IF(N(B22)+N(B23)&gt;0,"Both taken off the drawn layout.","No layout — figured off cricket LF.")</f>
        <v/>
      </c>
    </row>
    <row r="25" ht="32" customHeight="1" s="140">
      <c r="A25" s="436" t="inlineStr">
        <is>
          <t>3 · TPO MEMBRANE   —   60-mil.  10 ft in the middle, 5 ft around the outside, 5 ft on the walls</t>
        </is>
      </c>
    </row>
    <row r="26" ht="32" customHeight="1" s="140">
      <c r="A26" s="441" t="inlineStr">
        <is>
          <t>"A roll gives as many squares as it is feet wide — a 10 ft roll is 10 squares, a 5 ft roll is 5. Six inches of every roll is the selvage that gets lapped over, so a 5 ft roll loses 10% and a 10 ft roll only loses 5%. Cuts are on top of that."</t>
        </is>
      </c>
    </row>
    <row r="27" ht="20" customHeight="1" s="140">
      <c r="A27" s="165" t="inlineStr">
        <is>
          <t>Item</t>
        </is>
      </c>
      <c r="B27" s="165" t="inlineStr">
        <is>
          <t>Driver</t>
        </is>
      </c>
      <c r="C27" s="165" t="inlineStr">
        <is>
          <t>Unit</t>
        </is>
      </c>
      <c r="D27" s="165" t="inlineStr">
        <is>
          <t>Cuts %</t>
        </is>
      </c>
      <c r="E27" s="165" t="inlineStr">
        <is>
          <t>Factor  (1 + lap + cuts)</t>
        </is>
      </c>
      <c r="F27" s="165" t="inlineStr">
        <is>
          <t>RAW</t>
        </is>
      </c>
      <c r="G27" s="165" t="inlineStr">
        <is>
          <t>Qty</t>
        </is>
      </c>
      <c r="H27" s="165" t="inlineStr">
        <is>
          <t>Roll width (ft)</t>
        </is>
      </c>
    </row>
    <row r="28" ht="20" customHeight="1" s="140">
      <c r="A28" s="145" t="inlineStr">
        <is>
          <t>Field membrane  10'  (interior)</t>
        </is>
      </c>
      <c r="B28" s="187">
        <f>IFERROR(Takeoff!B129,"")</f>
        <v/>
      </c>
      <c r="C28" s="169" t="inlineStr">
        <is>
          <t>sq</t>
        </is>
      </c>
      <c r="D28" s="263" t="n">
        <v>0.1</v>
      </c>
      <c r="E28" s="167">
        <f>IFERROR(IF(OR(D28="",H28=""),"",1+(0.5/H28)+D28),"")</f>
        <v/>
      </c>
      <c r="F28" s="189">
        <f>IFERROR(IF(OR(B28="",E28="",H28=""),"",B28*E28/H28),"")</f>
        <v/>
      </c>
      <c r="G28" s="188">
        <f>IFERROR(IF(F28="","",ROUNDUP(F28,0)),"")</f>
        <v/>
      </c>
      <c r="H28" s="169" t="n">
        <v>10</v>
      </c>
    </row>
    <row r="29" ht="20" customHeight="1" s="140">
      <c r="A29" s="145" t="inlineStr">
        <is>
          <t>Field membrane  5'  (perimeter)</t>
        </is>
      </c>
      <c r="B29" s="187">
        <f>IFERROR(Takeoff!B128,"")</f>
        <v/>
      </c>
      <c r="C29" s="169" t="inlineStr">
        <is>
          <t>sq</t>
        </is>
      </c>
      <c r="D29" s="263" t="n">
        <v>0.1</v>
      </c>
      <c r="E29" s="167">
        <f>IFERROR(IF(OR(D29="",H29=""),"",1+(0.5/H29)+D29),"")</f>
        <v/>
      </c>
      <c r="F29" s="189">
        <f>IFERROR(IF(OR(B29="",E29="",H29=""),"",B29*E29/H29),"")</f>
        <v/>
      </c>
      <c r="G29" s="188">
        <f>IFERROR(IF(F29="","",ROUNDUP(F29,0)),"")</f>
        <v/>
      </c>
      <c r="H29" s="169" t="n">
        <v>5</v>
      </c>
    </row>
    <row r="30" ht="20" customHeight="1" s="140">
      <c r="A30" s="145" t="inlineStr">
        <is>
          <t>Wall membrane  5'</t>
        </is>
      </c>
      <c r="B30" s="187">
        <f>IFERROR(G8,"")</f>
        <v/>
      </c>
      <c r="C30" s="169" t="inlineStr">
        <is>
          <t>sq</t>
        </is>
      </c>
      <c r="D30" s="263" t="n">
        <v>0.15</v>
      </c>
      <c r="E30" s="167">
        <f>IFERROR(IF(OR(D30="",H30=""),"",1+(0.5/H30)+D30),"")</f>
        <v/>
      </c>
      <c r="F30" s="189">
        <f>IFERROR(IF(OR(B30="",E30="",H30=""),"",B30*E30/H30),"")</f>
        <v/>
      </c>
      <c r="G30" s="188">
        <f>IFERROR(IF(F30="","",ROUNDUP(F30,0)),"")</f>
        <v/>
      </c>
      <c r="H30" s="169" t="n">
        <v>5</v>
      </c>
    </row>
    <row r="31" ht="32" customHeight="1" s="140">
      <c r="A31" s="441">
        <f>"Interior "&amp;TEXT(N(B28),"0")&amp;" sq x "&amp;TEXT(E28,"0.00")&amp;" ÷ 10 sq per roll = "&amp;TEXT(N(G28),"0")&amp;" rolls of 10 ft.   Perimeter "&amp;TEXT(N(B29),"0")&amp;" sq x "&amp;TEXT(E29,"0.00")&amp;" ÷ 5 sq per roll = "&amp;TEXT(N(G29),"0")&amp;" rolls of 5 ft.   Walls "&amp;TEXT(N(B30),"0")&amp;" sq x "&amp;TEXT(E30,"0.00")&amp;" ÷ 5 = "&amp;TEXT(N(G30),"0")&amp;" rolls."</f>
        <v/>
      </c>
    </row>
    <row r="32" ht="22" customHeight="1" s="140">
      <c r="A32" s="143" t="inlineStr">
        <is>
          <t>4 · FASTENERS &amp; SEAM PLATES</t>
        </is>
      </c>
    </row>
    <row r="33" ht="32" customHeight="1" s="140">
      <c r="A33" s="441" t="inlineStr">
        <is>
          <t>"TWO SCREWS ON THIS ROOF, ONE LENGTH.  The length falls out of the stack: insulation + the deck itself + a full inch through the bottom, rounded up to the next size.  The gauges are a rule and do not move: the screw that holds the INSULATION down is a #12, the screw that holds a SEAM PLATE down is a #15."</t>
        </is>
      </c>
    </row>
    <row r="34" ht="20" customHeight="1" s="140">
      <c r="A34" s="165" t="inlineStr">
        <is>
          <t>Item</t>
        </is>
      </c>
      <c r="B34" s="165" t="inlineStr">
        <is>
          <t>Value</t>
        </is>
      </c>
      <c r="C34" s="165" t="inlineStr">
        <is>
          <t>Unit</t>
        </is>
      </c>
      <c r="D34" s="165" t="n"/>
      <c r="E34" s="165" t="inlineStr">
        <is>
          <t>How it is decided</t>
        </is>
      </c>
      <c r="F34" s="165" t="n"/>
      <c r="G34" s="165" t="n"/>
      <c r="H34" s="165" t="n"/>
    </row>
    <row r="35" ht="20" customHeight="1" s="140">
      <c r="A35" s="145" t="inlineStr">
        <is>
          <t>Fastener LENGTH  (both screws)</t>
        </is>
      </c>
      <c r="B35" s="187">
        <f>IFERROR(ROUNDUP(N(Takeoff!B10)+N(Takeoff!B9)+IF(ISNUMBER(SEARCH("WOOD",UPPER(Takeoff!B8))),0.5,0)+1,0),"")</f>
        <v/>
      </c>
      <c r="C35" s="169" t="inlineStr">
        <is>
          <t>in</t>
        </is>
      </c>
      <c r="D35" s="263" t="n"/>
      <c r="E35" s="447">
        <f>IFERROR("insulation "&amp;TEXT(N(Takeoff!B10),"0.0#")&amp;"in + deck "&amp;TEXT(N(Takeoff!B9)+IF(ISNUMBER(SEARCH("WOOD",UPPER(Takeoff!B8))),0.5,0),"0.0#")&amp;"in + 1in through the bottom = "&amp;TEXT(N(Takeoff!B10)+N(Takeoff!B9)+IF(ISNUMBER(SEARCH("WOOD",UPPER(Takeoff!B8))),0.5,0)+1,"0.0#")&amp;"in, rounded up to "&amp;TEXT(N(B35),"0")&amp;"in. No cover board on this job.","")</f>
        <v/>
      </c>
      <c r="F35" s="189" t="n"/>
      <c r="G35" s="188" t="n"/>
      <c r="H35" s="169" t="n"/>
    </row>
    <row r="36" ht="20" customHeight="1" s="140">
      <c r="A36" s="145" t="inlineStr">
        <is>
          <t>Insulation fastener GAUGE</t>
        </is>
      </c>
      <c r="B36" s="187" t="n">
        <v>12</v>
      </c>
      <c r="C36" s="169" t="inlineStr">
        <is>
          <t>gauge</t>
        </is>
      </c>
      <c r="D36" s="263" t="n"/>
      <c r="E36" s="447" t="inlineStr">
        <is>
          <t>RULE. The screw that holds the insulation down is a #12. It does not change with the deck.</t>
        </is>
      </c>
      <c r="F36" s="189" t="n"/>
      <c r="G36" s="188" t="n"/>
      <c r="H36" s="169" t="n"/>
    </row>
    <row r="37" ht="20" customHeight="1" s="140">
      <c r="A37" s="145" t="inlineStr">
        <is>
          <t>Seam fastener GAUGE</t>
        </is>
      </c>
      <c r="B37" s="187" t="n">
        <v>15</v>
      </c>
      <c r="C37" s="169" t="inlineStr">
        <is>
          <t>gauge</t>
        </is>
      </c>
      <c r="D37" s="263" t="n"/>
      <c r="E37" s="447">
        <f>IF(ISNUMBER(SEARCH("WOOD",UPPER(Takeoff!L38))),"RULE. Every seam plate takes a #15 — field, curbs, boots, pans. WOOD walls are the one exception: the wall and base-flashing plates take a 3in #14 into the wood.","RULE. Every seam plate takes a #15 — field, curbs, boots, pans, walls and base flashing. Walls are "&amp;LOWER(Takeoff!L38)&amp;", so nothing is screwed into the wall and there is no 3in #14 on this job.")</f>
        <v/>
      </c>
      <c r="F37" s="189" t="n"/>
      <c r="G37" s="188" t="n"/>
      <c r="H37" s="169" t="n"/>
    </row>
    <row r="38" ht="32" customHeight="1" s="140">
      <c r="A38" s="441">
        <f>"Both screws are "&amp;TEXT(N(B35),"0")&amp;"in long.   Insulation = #"&amp;TEXT(N(B36),"0")&amp;".   Seam plates = #"&amp;TEXT(N(B37),"0")&amp;"."&amp;IF(ISNUMBER(SEARCH("WOOD",UPPER(Takeoff!L38))),"   Wood walls: the wall and base-flashing plates take a 3in #14 instead.","")</f>
        <v/>
      </c>
    </row>
    <row r="39" ht="8" customHeight="1" s="140">
      <c r="A39" s="348" t="n"/>
      <c r="B39" s="348" t="n"/>
      <c r="C39" s="348" t="n"/>
      <c r="D39" s="348" t="n"/>
      <c r="E39" s="348" t="n"/>
      <c r="F39" s="348" t="n"/>
      <c r="G39" s="348" t="n"/>
      <c r="H39" s="348" t="n"/>
      <c r="I39" s="348" t="n"/>
      <c r="J39" s="348" t="n"/>
      <c r="K39" s="348" t="n"/>
      <c r="L39" s="348" t="n"/>
      <c r="M39" s="348" t="n"/>
    </row>
    <row r="40" ht="20" customHeight="1" s="140">
      <c r="A40" s="165" t="inlineStr">
        <is>
          <t>Item</t>
        </is>
      </c>
      <c r="B40" s="165" t="inlineStr">
        <is>
          <t>Boards</t>
        </is>
      </c>
      <c r="C40" s="165" t="inlineStr">
        <is>
          <t>Unit</t>
        </is>
      </c>
      <c r="D40" s="165" t="inlineStr">
        <is>
          <t>Plates per board</t>
        </is>
      </c>
      <c r="E40" s="165" t="inlineStr">
        <is>
          <t>Plates per box</t>
        </is>
      </c>
      <c r="F40" s="165" t="inlineStr">
        <is>
          <t>RAW plates</t>
        </is>
      </c>
      <c r="G40" s="165" t="inlineStr">
        <is>
          <t>Boxes</t>
        </is>
      </c>
      <c r="H40" s="165" t="inlineStr">
        <is>
          <t>Pkg</t>
        </is>
      </c>
    </row>
    <row r="41" ht="20" customHeight="1" s="140">
      <c r="A41" s="145" t="inlineStr">
        <is>
          <t>ISO plates</t>
        </is>
      </c>
      <c r="B41" s="187">
        <f>IFERROR(N(G14),"")</f>
        <v/>
      </c>
      <c r="C41" s="169" t="inlineStr">
        <is>
          <t>board</t>
        </is>
      </c>
      <c r="D41" s="263">
        <f>IFERROR(Takeoff!B14,"")</f>
        <v/>
      </c>
      <c r="E41" s="167" t="n">
        <v>500</v>
      </c>
      <c r="F41" s="189">
        <f>IFERROR(IF(OR(B41="",D41=""),"",B41*D41),"")</f>
        <v/>
      </c>
      <c r="G41" s="188">
        <f>IFERROR(IF(OR(F41="",N(E41)=0),"",ROUNDUP(F41/E41,0)),"")</f>
        <v/>
      </c>
      <c r="H41" s="169" t="inlineStr">
        <is>
          <t>box</t>
        </is>
      </c>
    </row>
    <row r="42" ht="8" customHeight="1" s="140">
      <c r="A42" s="348" t="n"/>
      <c r="B42" s="348" t="n"/>
      <c r="C42" s="348" t="n"/>
      <c r="D42" s="348" t="n"/>
      <c r="E42" s="348" t="n"/>
      <c r="F42" s="348" t="n"/>
      <c r="G42" s="348" t="n"/>
      <c r="H42" s="348" t="n"/>
      <c r="I42" s="348" t="n"/>
      <c r="J42" s="348" t="n"/>
      <c r="K42" s="348" t="n"/>
      <c r="L42" s="348" t="n"/>
      <c r="M42" s="348" t="n"/>
    </row>
    <row r="43" ht="32" customHeight="1" s="140">
      <c r="A43" s="436" t="inlineStr">
        <is>
          <t>4b · WALL FASTENING   —   3" #14 + seam plate at 12" o.c.,  a seam every sheet width along the run</t>
        </is>
      </c>
    </row>
    <row r="44" ht="32" customHeight="1" s="140">
      <c r="A44" s="441" t="inlineStr">
        <is>
          <t>"The run that gets fastened off is the WALL face. The cap is NOT in it — the membrane goes over the cap and terminates, it does not get a row up there. A seam lands every 5 ft along that run and the top one is not counted, because that is where it folds over."</t>
        </is>
      </c>
    </row>
    <row r="45" ht="20" customHeight="1" s="140">
      <c r="A45" s="165" t="inlineStr">
        <is>
          <t>Rule</t>
        </is>
      </c>
      <c r="B45" s="165" t="inlineStr">
        <is>
          <t>Value</t>
        </is>
      </c>
      <c r="C45" s="165" t="inlineStr">
        <is>
          <t>Unit</t>
        </is>
      </c>
      <c r="D45" s="165" t="n"/>
      <c r="E45" s="165" t="inlineStr">
        <is>
          <t>What it means</t>
        </is>
      </c>
      <c r="F45" s="165" t="n"/>
      <c r="G45" s="165" t="n"/>
      <c r="H45" s="165" t="n"/>
    </row>
    <row r="46" ht="20" customHeight="1" s="140">
      <c r="A46" s="145" t="inlineStr">
        <is>
          <t>Wall fastener row spacing  (LAW — every 5 ft for wind uplift)</t>
        </is>
      </c>
      <c r="B46" s="187" t="n">
        <v>5</v>
      </c>
      <c r="C46" s="169" t="inlineStr">
        <is>
          <t>ft</t>
        </is>
      </c>
      <c r="D46" s="263" t="n"/>
      <c r="E46" s="447" t="inlineStr">
        <is>
          <t>LAW, not a setting. A wall gets a row of fasteners every 5 ft up its height, for wind uplift. Run a 10 ft sheet on a wall and you still fasten fingers through its mid-point to keep the rows 5 ft apart. This does NOT follow the field sheet width.</t>
        </is>
      </c>
      <c r="F46" s="189" t="n"/>
      <c r="G46" s="188" t="n"/>
      <c r="H46" s="169" t="n"/>
    </row>
    <row r="47" ht="20" customHeight="1" s="140">
      <c r="A47" s="145" t="inlineStr">
        <is>
          <t>Cap is not part of the run</t>
        </is>
      </c>
      <c r="B47" s="187" t="n"/>
      <c r="C47" s="169" t="n"/>
      <c r="D47" s="263" t="n"/>
      <c r="E47" s="447" t="inlineStr">
        <is>
          <t>the membrane runs over the cap and terminates — no fastener row up there</t>
        </is>
      </c>
      <c r="F47" s="189" t="n"/>
      <c r="G47" s="188" t="n"/>
      <c r="H47" s="169" t="n"/>
    </row>
    <row r="48" ht="20" customHeight="1" s="140">
      <c r="A48" s="145" t="inlineStr">
        <is>
          <t>Variance off the top</t>
        </is>
      </c>
      <c r="B48" s="187" t="n">
        <v>2</v>
      </c>
      <c r="C48" s="169" t="inlineStr">
        <is>
          <t>ft</t>
        </is>
      </c>
      <c r="D48" s="263" t="n"/>
      <c r="E48" s="447" t="inlineStr">
        <is>
          <t>a row that lands inside this of the top is not worth putting in. 11 ft wall = 1 row, 12 ft wall = 2.</t>
        </is>
      </c>
      <c r="F48" s="189" t="n"/>
      <c r="G48" s="188" t="n"/>
      <c r="H48" s="169" t="n"/>
    </row>
    <row r="49" ht="20" customHeight="1" s="140">
      <c r="A49" s="145" t="inlineStr">
        <is>
          <t>Fastener spacing on center</t>
        </is>
      </c>
      <c r="B49" s="187">
        <f>IFERROR(Takeoff!B15,"")</f>
        <v/>
      </c>
      <c r="C49" s="169" t="inlineStr">
        <is>
          <t>in</t>
        </is>
      </c>
      <c r="D49" s="263" t="n"/>
      <c r="E49" s="447" t="inlineStr">
        <is>
          <t>from the SETUP block — the wind-uplift lever</t>
        </is>
      </c>
      <c r="F49" s="189" t="n"/>
      <c r="G49" s="188" t="n"/>
      <c r="H49" s="169" t="n"/>
    </row>
    <row r="50" ht="8" customHeight="1" s="140">
      <c r="A50" s="348" t="n"/>
      <c r="B50" s="348" t="n"/>
      <c r="C50" s="348" t="n"/>
      <c r="D50" s="348" t="n"/>
      <c r="E50" s="348" t="n"/>
      <c r="F50" s="348" t="n"/>
      <c r="G50" s="348" t="n"/>
      <c r="H50" s="348" t="n"/>
      <c r="I50" s="348" t="n"/>
      <c r="J50" s="348" t="n"/>
      <c r="K50" s="348" t="n"/>
      <c r="L50" s="348" t="n"/>
      <c r="M50" s="348" t="n"/>
    </row>
    <row r="51" ht="20" customHeight="1" s="140">
      <c r="A51" s="165" t="inlineStr">
        <is>
          <t>Wall facet</t>
        </is>
      </c>
      <c r="B51" s="165" t="inlineStr">
        <is>
          <t>Run of wall (ft)</t>
        </is>
      </c>
      <c r="C51" s="165" t="inlineStr">
        <is>
          <t>WALL run  (no cap)</t>
        </is>
      </c>
      <c r="D51" s="165" t="inlineStr">
        <is>
          <t>Cap (ft)</t>
        </is>
      </c>
      <c r="E51" s="165" t="inlineStr">
        <is>
          <t>Rows of fasteners</t>
        </is>
      </c>
      <c r="F51" s="165" t="inlineStr">
        <is>
          <t>Fasteners</t>
        </is>
      </c>
      <c r="G51" s="165" t="inlineStr">
        <is>
          <t>Plates</t>
        </is>
      </c>
      <c r="H51" s="165" t="inlineStr">
        <is>
          <t>Pkg</t>
        </is>
      </c>
    </row>
    <row r="52" ht="20" customHeight="1" s="140">
      <c r="A52" s="145" t="inlineStr">
        <is>
          <t>Facet 1</t>
        </is>
      </c>
      <c r="B52" s="187">
        <f>IFERROR(IF(Takeoff!B38="","",Takeoff!B38),"")</f>
        <v/>
      </c>
      <c r="C52" s="169">
        <f>IFERROR(IF(Takeoff!G38="","",Takeoff!G38-N(Takeoff!D38)),"")</f>
        <v/>
      </c>
      <c r="D52" s="263">
        <f>IFERROR(IF(Takeoff!D38="","",Takeoff!D38),"")</f>
        <v/>
      </c>
      <c r="E52" s="167">
        <f>IFERROR(IF(OR(C52="",B46=0),"",MAX(0,ROUNDDOWN((C52-N(B48))/B46,0))),"")</f>
        <v/>
      </c>
      <c r="F52" s="189">
        <f>IFERROR(IF(OR(B52="",E52="",B49=0),"",E52*B52/(B49/12)),"")</f>
        <v/>
      </c>
      <c r="G52" s="188" t="n"/>
      <c r="H52" s="169" t="inlineStr">
        <is>
          <t>ea</t>
        </is>
      </c>
    </row>
    <row r="53" ht="20" customHeight="1" s="140">
      <c r="A53" s="145" t="inlineStr">
        <is>
          <t>Facet 2</t>
        </is>
      </c>
      <c r="B53" s="187">
        <f>IFERROR(IF(Takeoff!B39="","",Takeoff!B39),"")</f>
        <v/>
      </c>
      <c r="C53" s="169">
        <f>IFERROR(IF(Takeoff!G39="","",Takeoff!G39-N(Takeoff!D39)),"")</f>
        <v/>
      </c>
      <c r="D53" s="263">
        <f>IFERROR(IF(Takeoff!D39="","",Takeoff!D39),"")</f>
        <v/>
      </c>
      <c r="E53" s="167">
        <f>IFERROR(IF(OR(C53="",B46=0),"",MAX(0,ROUNDDOWN((C53-N(B48))/B46,0))),"")</f>
        <v/>
      </c>
      <c r="F53" s="189">
        <f>IFERROR(IF(OR(B53="",E53="",B49=0),"",E53*B53/(B49/12)),"")</f>
        <v/>
      </c>
      <c r="G53" s="188" t="n"/>
      <c r="H53" s="169" t="inlineStr">
        <is>
          <t>ea</t>
        </is>
      </c>
    </row>
    <row r="54" ht="20" customHeight="1" s="140">
      <c r="A54" s="145" t="inlineStr">
        <is>
          <t>Facet 3</t>
        </is>
      </c>
      <c r="B54" s="187">
        <f>IFERROR(IF(Takeoff!B40="","",Takeoff!B40),"")</f>
        <v/>
      </c>
      <c r="C54" s="169">
        <f>IFERROR(IF(Takeoff!G40="","",Takeoff!G40-N(Takeoff!D40)),"")</f>
        <v/>
      </c>
      <c r="D54" s="263">
        <f>IFERROR(IF(Takeoff!D40="","",Takeoff!D40),"")</f>
        <v/>
      </c>
      <c r="E54" s="167">
        <f>IFERROR(IF(OR(C54="",B46=0),"",MAX(0,ROUNDDOWN((C54-N(B48))/B46,0))),"")</f>
        <v/>
      </c>
      <c r="F54" s="189">
        <f>IFERROR(IF(OR(B54="",E54="",B49=0),"",E54*B54/(B49/12)),"")</f>
        <v/>
      </c>
      <c r="G54" s="188" t="n"/>
      <c r="H54" s="169" t="inlineStr">
        <is>
          <t>ea</t>
        </is>
      </c>
    </row>
    <row r="55" ht="20" customHeight="1" s="140">
      <c r="A55" s="145" t="inlineStr">
        <is>
          <t>Facet 4</t>
        </is>
      </c>
      <c r="B55" s="187">
        <f>IFERROR(IF(Takeoff!B41="","",Takeoff!B41),"")</f>
        <v/>
      </c>
      <c r="C55" s="169">
        <f>IFERROR(IF(Takeoff!G41="","",Takeoff!G41-N(Takeoff!D41)),"")</f>
        <v/>
      </c>
      <c r="D55" s="263">
        <f>IFERROR(IF(Takeoff!D41="","",Takeoff!D41),"")</f>
        <v/>
      </c>
      <c r="E55" s="167">
        <f>IFERROR(IF(OR(C55="",B46=0),"",MAX(0,ROUNDDOWN((C55-N(B48))/B46,0))),"")</f>
        <v/>
      </c>
      <c r="F55" s="189">
        <f>IFERROR(IF(OR(B55="",E55="",B49=0),"",E55*B55/(B49/12)),"")</f>
        <v/>
      </c>
      <c r="G55" s="188" t="n"/>
      <c r="H55" s="169" t="inlineStr">
        <is>
          <t>ea</t>
        </is>
      </c>
    </row>
    <row r="56" ht="20" customHeight="1" s="140">
      <c r="A56" s="145" t="inlineStr">
        <is>
          <t>Facet 5</t>
        </is>
      </c>
      <c r="B56" s="187">
        <f>IFERROR(IF(Takeoff!B42="","",Takeoff!B42),"")</f>
        <v/>
      </c>
      <c r="C56" s="169">
        <f>IFERROR(IF(Takeoff!G42="","",Takeoff!G42-N(Takeoff!D42)),"")</f>
        <v/>
      </c>
      <c r="D56" s="263">
        <f>IFERROR(IF(Takeoff!D42="","",Takeoff!D42),"")</f>
        <v/>
      </c>
      <c r="E56" s="167">
        <f>IFERROR(IF(OR(C56="",B46=0),"",MAX(0,ROUNDDOWN((C56-N(B48))/B46,0))),"")</f>
        <v/>
      </c>
      <c r="F56" s="189">
        <f>IFERROR(IF(OR(B56="",E56="",B49=0),"",E56*B56/(B49/12)),"")</f>
        <v/>
      </c>
      <c r="G56" s="188" t="n"/>
      <c r="H56" s="169" t="inlineStr">
        <is>
          <t>ea</t>
        </is>
      </c>
    </row>
    <row r="57" ht="20" customHeight="1" s="140">
      <c r="A57" s="145" t="inlineStr">
        <is>
          <t>Facet 6</t>
        </is>
      </c>
      <c r="B57" s="187">
        <f>IFERROR(IF(Takeoff!B43="","",Takeoff!B43),"")</f>
        <v/>
      </c>
      <c r="C57" s="169">
        <f>IFERROR(IF(Takeoff!G43="","",Takeoff!G43-N(Takeoff!D43)),"")</f>
        <v/>
      </c>
      <c r="D57" s="263">
        <f>IFERROR(IF(Takeoff!D43="","",Takeoff!D43),"")</f>
        <v/>
      </c>
      <c r="E57" s="167">
        <f>IFERROR(IF(OR(C57="",B46=0),"",MAX(0,ROUNDDOWN((C57-N(B48))/B46,0))),"")</f>
        <v/>
      </c>
      <c r="F57" s="189">
        <f>IFERROR(IF(OR(B57="",E57="",B49=0),"",E57*B57/(B49/12)),"")</f>
        <v/>
      </c>
      <c r="G57" s="188" t="n"/>
      <c r="H57" s="169" t="inlineStr">
        <is>
          <t>ea</t>
        </is>
      </c>
    </row>
    <row r="58" ht="20" customHeight="1" s="140">
      <c r="A58" s="145" t="inlineStr">
        <is>
          <t>Facet 7</t>
        </is>
      </c>
      <c r="B58" s="187">
        <f>IFERROR(IF(Takeoff!B44="","",Takeoff!B44),"")</f>
        <v/>
      </c>
      <c r="C58" s="169">
        <f>IFERROR(IF(Takeoff!G44="","",Takeoff!G44-N(Takeoff!D44)),"")</f>
        <v/>
      </c>
      <c r="D58" s="263">
        <f>IFERROR(IF(Takeoff!D44="","",Takeoff!D44),"")</f>
        <v/>
      </c>
      <c r="E58" s="167">
        <f>IFERROR(IF(OR(C58="",B46=0),"",MAX(0,ROUNDDOWN((C58-N(B48))/B46,0))),"")</f>
        <v/>
      </c>
      <c r="F58" s="189">
        <f>IFERROR(IF(OR(B58="",E58="",B49=0),"",E58*B58/(B49/12)),"")</f>
        <v/>
      </c>
      <c r="G58" s="188" t="n"/>
      <c r="H58" s="169" t="inlineStr">
        <is>
          <t>ea</t>
        </is>
      </c>
    </row>
    <row r="59" ht="20" customHeight="1" s="140">
      <c r="A59" s="145" t="inlineStr">
        <is>
          <t>Facet 8</t>
        </is>
      </c>
      <c r="B59" s="187">
        <f>IFERROR(IF(Takeoff!B45="","",Takeoff!B45),"")</f>
        <v/>
      </c>
      <c r="C59" s="169">
        <f>IFERROR(IF(Takeoff!G45="","",Takeoff!G45-N(Takeoff!D45)),"")</f>
        <v/>
      </c>
      <c r="D59" s="263">
        <f>IFERROR(IF(Takeoff!D45="","",Takeoff!D45),"")</f>
        <v/>
      </c>
      <c r="E59" s="167">
        <f>IFERROR(IF(OR(C59="",B46=0),"",MAX(0,ROUNDDOWN((C59-N(B48))/B46,0))),"")</f>
        <v/>
      </c>
      <c r="F59" s="189">
        <f>IFERROR(IF(OR(B59="",E59="",B49=0),"",E59*B59/(B49/12)),"")</f>
        <v/>
      </c>
      <c r="G59" s="188" t="n"/>
      <c r="H59" s="169" t="inlineStr">
        <is>
          <t>ea</t>
        </is>
      </c>
    </row>
    <row r="60" ht="20" customHeight="1" s="140">
      <c r="A60" s="145" t="inlineStr">
        <is>
          <t>TOTAL WALL FASTENING</t>
        </is>
      </c>
      <c r="B60" s="187" t="n"/>
      <c r="C60" s="169" t="n"/>
      <c r="D60" s="263" t="n"/>
      <c r="E60" s="167" t="n"/>
      <c r="F60" s="189">
        <f>IFERROR(IF(COUNT(F52:F59)=0,"",SUM(F52:F59)),"")</f>
        <v/>
      </c>
      <c r="G60" s="188">
        <f>IFERROR(IF(COUNT(G52:G59)=0,"",SUM(G52:G59)),"")</f>
        <v/>
      </c>
      <c r="H60" s="169" t="inlineStr">
        <is>
          <t>ea</t>
        </is>
      </c>
    </row>
    <row r="61" ht="32" customHeight="1" s="140">
      <c r="A61" s="441">
        <f>"Rows = the WALL run (no cap), a row every "&amp;TEXT(B46,"0")&amp;" ft up it, dropping any row that lands inside "&amp;TEXT(B48,"0")&amp;" ft of the top.  Fasteners = rows x run ÷ "&amp;TEXT(B49/12,"0.00")&amp;" ft o.c."</f>
        <v/>
      </c>
    </row>
    <row r="62" ht="8" customHeight="1" s="140">
      <c r="A62" s="348" t="n"/>
      <c r="B62" s="348" t="n"/>
      <c r="C62" s="348" t="n"/>
      <c r="D62" s="348" t="n"/>
      <c r="E62" s="348" t="n"/>
      <c r="F62" s="348" t="n"/>
      <c r="G62" s="348" t="n"/>
      <c r="H62" s="348" t="n"/>
      <c r="I62" s="348" t="n"/>
      <c r="J62" s="348" t="n"/>
      <c r="K62" s="348" t="n"/>
      <c r="L62" s="348" t="n"/>
      <c r="M62" s="348" t="n"/>
    </row>
    <row r="63" ht="32" customHeight="1" s="140">
      <c r="A63" s="436" t="inlineStr">
        <is>
          <t>4c · PERIMETER BASE FLASHING   —   3" #14 into the WOOD,  kept separate from the wall rows above</t>
        </is>
      </c>
    </row>
    <row r="64" ht="32" customHeight="1" s="140">
      <c r="A64" s="441" t="inlineStr">
        <is>
          <t>"Wood deck. Where the base sheet turns up vertical into the wall it takes a 3″ #14 and a seam plate straight into the wood. Going vertical into the wall is what lets a 3″ do the job instead of a 7, 8, 9 or 10 — and it does not leak. On concrete tilt-wall this is not available. This LF is HAND-COUNTED on the takeoff; the wall rows above are derived from wall squares, so the two stay on separate lines."</t>
        </is>
      </c>
    </row>
    <row r="65" ht="20" customHeight="1" s="140">
      <c r="A65" s="165" t="inlineStr">
        <is>
          <t>Item</t>
        </is>
      </c>
      <c r="B65" s="165" t="inlineStr">
        <is>
          <t>Driver</t>
        </is>
      </c>
      <c r="C65" s="165" t="inlineStr">
        <is>
          <t>Unit</t>
        </is>
      </c>
      <c r="D65" s="165" t="inlineStr">
        <is>
          <t>On center (in)</t>
        </is>
      </c>
      <c r="E65" s="165" t="inlineStr">
        <is>
          <t>What it means</t>
        </is>
      </c>
      <c r="F65" s="165" t="inlineStr">
        <is>
          <t>RAW</t>
        </is>
      </c>
      <c r="G65" s="165" t="inlineStr">
        <is>
          <t>Qty</t>
        </is>
      </c>
      <c r="H65" s="165" t="inlineStr">
        <is>
          <t>Pkg</t>
        </is>
      </c>
    </row>
    <row r="66" ht="20" customHeight="1" s="140">
      <c r="A66" s="145" t="inlineStr">
        <is>
          <t>Base flashing fastener  3" #14</t>
        </is>
      </c>
      <c r="B66" s="187">
        <f>IFERROR(IF(N(Takeoff!B21)&gt;0,Takeoff!B21,Takeoff!I46),"")</f>
        <v/>
      </c>
      <c r="C66" s="169" t="inlineStr">
        <is>
          <t>LF</t>
        </is>
      </c>
      <c r="D66" s="263">
        <f>IFERROR(Takeoff!B16,"")</f>
        <v/>
      </c>
      <c r="E66" s="167" t="inlineStr">
        <is>
          <t>from the SETUP block at the top of the Takeoff page</t>
        </is>
      </c>
      <c r="F66" s="189">
        <f>IFERROR(IF(OR(B66="",D66="",D66=0),"",B66/(D66/12)),"")</f>
        <v/>
      </c>
      <c r="G66" s="188">
        <f>IFERROR(IF(F66="","",ROUNDUP(F66,0)),"")</f>
        <v/>
      </c>
      <c r="H66" s="169" t="inlineStr">
        <is>
          <t>ea</t>
        </is>
      </c>
    </row>
    <row r="67" ht="20" customHeight="1" s="140">
      <c r="A67" s="145" t="inlineStr">
        <is>
          <t>Base flashing seam plates</t>
        </is>
      </c>
      <c r="B67" s="187">
        <f>IFERROR(G66,"")</f>
        <v/>
      </c>
      <c r="C67" s="169" t="inlineStr">
        <is>
          <t>ea</t>
        </is>
      </c>
      <c r="D67" s="263" t="n"/>
      <c r="E67" s="167" t="inlineStr">
        <is>
          <t>one plate per fastener</t>
        </is>
      </c>
      <c r="F67" s="189">
        <f>IFERROR(B67,"")</f>
        <v/>
      </c>
      <c r="G67" s="188">
        <f>IFERROR(IF(F67="","",ROUNDUP(F67,0)),"")</f>
        <v/>
      </c>
      <c r="H67" s="169" t="inlineStr">
        <is>
          <t>ea</t>
        </is>
      </c>
    </row>
    <row r="68" ht="32" customHeight="1" s="140">
      <c r="A68" s="441">
        <f>"Base flashing "&amp;TEXT(N(Takeoff!B21),"#,##0")&amp;" LF at "&amp;TEXT(D66,"0")&amp;"″ o.c. = "&amp;TEXT(N(G66),"#,##0")&amp;" fasteners and the same in plates. Separate line, separate count — it never gets folded into the wall numbers."</f>
        <v/>
      </c>
    </row>
    <row r="69" ht="8" customHeight="1" s="140">
      <c r="A69" s="348" t="n"/>
      <c r="B69" s="348" t="n"/>
      <c r="C69" s="348" t="n"/>
      <c r="D69" s="348" t="n"/>
      <c r="E69" s="348" t="n"/>
      <c r="F69" s="348" t="n"/>
      <c r="G69" s="348" t="n"/>
      <c r="H69" s="348" t="n"/>
      <c r="I69" s="348" t="n"/>
      <c r="J69" s="348" t="n"/>
      <c r="K69" s="348" t="n"/>
      <c r="L69" s="348" t="n"/>
      <c r="M69" s="348" t="n"/>
    </row>
    <row r="70" ht="22" customHeight="1" s="140">
      <c r="A70" s="143" t="inlineStr">
        <is>
          <t>4d · SEAM PLATES &amp; FASTENERS   —   one fastener per plate</t>
        </is>
      </c>
    </row>
    <row r="71" ht="32" customHeight="1" s="140">
      <c r="A71" s="441" t="inlineStr">
        <is>
          <t>"A roll is 100 ft long no matter how wide it is. Plates run down the seam at the field spacing, so at 12in o.c. every roll takes 100 plates. Count ALL the field rolls — the 10 footers and the 5 footers — then add the details.   Every seam plate here is the same plate, so they are bought as one number. The screws are not: the field takes a 5in #15, the walls and base flashing take a 3in #14.   Flat metal is NOT in this list — the screws that hold coping, gravel stop and counter flashing are already in the metal price."</t>
        </is>
      </c>
    </row>
    <row r="72" ht="20" customHeight="1" s="140">
      <c r="A72" s="145" t="inlineStr">
        <is>
          <t>Field seam spacing</t>
        </is>
      </c>
      <c r="B72" s="187" t="n">
        <v>12</v>
      </c>
      <c r="C72" s="169" t="inlineStr">
        <is>
          <t>in o.c.</t>
        </is>
      </c>
      <c r="D72" s="263" t="n"/>
      <c r="E72" s="447" t="inlineStr">
        <is>
          <t>THE WIND-UPLIFT LEVER. 12in o.c. = 100 plates per roll, because a roll is 100 ft long. 6in doubles every plate in the field.</t>
        </is>
      </c>
      <c r="F72" s="189" t="n"/>
      <c r="G72" s="188" t="n"/>
      <c r="H72" s="169" t="n"/>
    </row>
    <row r="73" ht="20" customHeight="1" s="140">
      <c r="A73" s="165" t="inlineStr">
        <is>
          <t>Where seam plates go</t>
        </is>
      </c>
      <c r="B73" s="165" t="inlineStr">
        <is>
          <t>Count</t>
        </is>
      </c>
      <c r="C73" s="165" t="inlineStr">
        <is>
          <t>Unit</t>
        </is>
      </c>
      <c r="D73" s="165" t="inlineStr">
        <is>
          <t>Plates each</t>
        </is>
      </c>
      <c r="E73" s="165" t="inlineStr">
        <is>
          <t>Which screw</t>
        </is>
      </c>
      <c r="F73" s="165" t="inlineStr">
        <is>
          <t>Plates</t>
        </is>
      </c>
      <c r="G73" s="165" t="n"/>
      <c r="H73" s="165" t="n"/>
    </row>
    <row r="74" ht="20" customHeight="1" s="140">
      <c r="A74" s="145" t="inlineStr">
        <is>
          <t>Field membrane rolls  (10 ft + 5 ft)</t>
        </is>
      </c>
      <c r="B74" s="187">
        <f>IFERROR(N(G28)+N(G29),"")</f>
        <v/>
      </c>
      <c r="C74" s="169" t="inlineStr">
        <is>
          <t>roll</t>
        </is>
      </c>
      <c r="D74" s="263">
        <f>IFERROR(IF(N(B72)=0,"",100/(B72/12)),"")</f>
        <v/>
      </c>
      <c r="E74" s="167" t="inlineStr">
        <is>
          <t>5″ #15</t>
        </is>
      </c>
      <c r="F74" s="189">
        <f>IFERROR(IF(OR(B74="",D74=""),0,B74*D74),"")</f>
        <v/>
      </c>
      <c r="G74" s="188" t="n"/>
      <c r="H74" s="169" t="n"/>
      <c r="I74" s="448">
        <f>IFERROR(TEXT(N(G28),"0")&amp;" rolls of 10 ft + "&amp;TEXT(N(G29),"0")&amp;" rolls of 5 ft = "&amp;TEXT(N(B74),"0")&amp;" rolls, every one of them 100 ft long. A plate every "&amp;TEXT(N(B72),"0")&amp;" in along the seam = "&amp;TEXT(N(D74),"0")&amp;" plates a roll.","")</f>
        <v/>
      </c>
    </row>
    <row r="75" ht="20" customHeight="1" s="140">
      <c r="A75" s="145" t="inlineStr">
        <is>
          <t>Curb flashing</t>
        </is>
      </c>
      <c r="B75" s="187">
        <f>IFERROR(Takeoff!B26,"")</f>
        <v/>
      </c>
      <c r="C75" s="169" t="inlineStr">
        <is>
          <t>LF</t>
        </is>
      </c>
      <c r="D75" s="263" t="n">
        <v>1</v>
      </c>
      <c r="E75" s="167" t="inlineStr">
        <is>
          <t>5″ #15</t>
        </is>
      </c>
      <c r="F75" s="466">
        <f>IFERROR(IF(OR(B75="",D75=""),0,B75*D75),"")</f>
        <v/>
      </c>
      <c r="G75" s="188" t="n"/>
      <c r="H75" s="169" t="n"/>
    </row>
    <row r="76" ht="20" customHeight="1" s="140">
      <c r="A76" s="145" t="inlineStr">
        <is>
          <t>Pipe boots</t>
        </is>
      </c>
      <c r="B76" s="187">
        <f>IFERROR(Takeoff!B28,"")</f>
        <v/>
      </c>
      <c r="C76" s="169" t="inlineStr">
        <is>
          <t>ea</t>
        </is>
      </c>
      <c r="D76" s="263" t="n">
        <v>4</v>
      </c>
      <c r="E76" s="167" t="inlineStr">
        <is>
          <t>5″ #15</t>
        </is>
      </c>
      <c r="F76" s="466">
        <f>IFERROR(IF(OR(B76="",D76=""),0,B76*D76),"")</f>
        <v/>
      </c>
      <c r="G76" s="188" t="n"/>
      <c r="H76" s="169" t="n"/>
    </row>
    <row r="77" ht="20" customHeight="1" s="140">
      <c r="A77" s="145" t="inlineStr">
        <is>
          <t>Pitch pans</t>
        </is>
      </c>
      <c r="B77" s="187">
        <f>IFERROR(Takeoff!B27,"")</f>
        <v/>
      </c>
      <c r="C77" s="169" t="inlineStr">
        <is>
          <t>ea</t>
        </is>
      </c>
      <c r="D77" s="263" t="n">
        <v>4</v>
      </c>
      <c r="E77" s="167" t="inlineStr">
        <is>
          <t>5″ #15</t>
        </is>
      </c>
      <c r="F77" s="466">
        <f>IFERROR(IF(OR(B77="",D77=""),0,B77*D77),"")</f>
        <v/>
      </c>
      <c r="G77" s="188" t="n"/>
      <c r="H77" s="169" t="n"/>
    </row>
    <row r="78" ht="20" customHeight="1" s="140">
      <c r="A78" s="145" t="inlineStr">
        <is>
          <t>Wall fastener rows</t>
        </is>
      </c>
      <c r="B78" s="187">
        <f>IFERROR(F60,"")</f>
        <v/>
      </c>
      <c r="C78" s="169" t="inlineStr">
        <is>
          <t>ea</t>
        </is>
      </c>
      <c r="D78" s="263" t="n">
        <v>1</v>
      </c>
      <c r="E78" s="167" t="inlineStr">
        <is>
          <t>3″ #14</t>
        </is>
      </c>
      <c r="F78" s="466">
        <f>IFERROR(IF(OR(B78="",D78=""),0,B78*D78),"")</f>
        <v/>
      </c>
      <c r="G78" s="188" t="n"/>
      <c r="H78" s="169" t="n"/>
    </row>
    <row r="79" ht="20" customHeight="1" s="140">
      <c r="A79" s="145" t="inlineStr">
        <is>
          <t>Base flashing</t>
        </is>
      </c>
      <c r="B79" s="187">
        <f>IFERROR(G66,"")</f>
        <v/>
      </c>
      <c r="C79" s="169" t="inlineStr">
        <is>
          <t>ea</t>
        </is>
      </c>
      <c r="D79" s="263" t="n">
        <v>1</v>
      </c>
      <c r="E79" s="167" t="inlineStr">
        <is>
          <t>3″ #14</t>
        </is>
      </c>
      <c r="F79" s="466">
        <f>IFERROR(IF(OR(B79="",D79=""),0,B79*D79),"")</f>
        <v/>
      </c>
      <c r="G79" s="188" t="n"/>
      <c r="H79" s="169" t="n"/>
    </row>
    <row r="80" ht="20" customHeight="1" s="140">
      <c r="A80" s="145" t="inlineStr">
        <is>
          <t xml:space="preserve">   field plates  x 1.1</t>
        </is>
      </c>
      <c r="B80" s="187" t="n"/>
      <c r="C80" s="169" t="inlineStr">
        <is>
          <t>plate</t>
        </is>
      </c>
      <c r="D80" s="263" t="n"/>
      <c r="E80" s="167" t="n"/>
      <c r="F80" s="189">
        <f>IFERROR(SUM(F74:F77)*1.1,"")</f>
        <v/>
      </c>
      <c r="G80" s="188" t="n"/>
      <c r="H80" s="169" t="n"/>
    </row>
    <row r="81" ht="20" customHeight="1" s="140">
      <c r="A81" s="145" t="inlineStr">
        <is>
          <t xml:space="preserve">   wall plates  x 1.1</t>
        </is>
      </c>
      <c r="B81" s="187" t="n"/>
      <c r="C81" s="169" t="inlineStr">
        <is>
          <t>plate</t>
        </is>
      </c>
      <c r="D81" s="263" t="n"/>
      <c r="E81" s="167" t="n"/>
      <c r="F81" s="189">
        <f>IFERROR(SUM(F78:F79)*1.1,"")</f>
        <v/>
      </c>
      <c r="G81" s="188" t="n"/>
      <c r="H81" s="169" t="n"/>
    </row>
    <row r="82" ht="20" customHeight="1" s="140">
      <c r="A82" s="145" t="inlineStr">
        <is>
          <t>SEAM PLATES</t>
        </is>
      </c>
      <c r="B82" s="187" t="n"/>
      <c r="C82" s="169" t="inlineStr">
        <is>
          <t>plate</t>
        </is>
      </c>
      <c r="D82" s="263" t="n">
        <v>1.1</v>
      </c>
      <c r="E82" s="167" t="n">
        <v>1000</v>
      </c>
      <c r="F82" s="189">
        <f>IFERROR(N(F80)+N(F81),"")</f>
        <v/>
      </c>
      <c r="G82" s="188">
        <f>IFERROR(IF(OR(F82="",N(E82)=0),"",ROUNDUP(F82/E82,0)),"")</f>
        <v/>
      </c>
      <c r="H82" s="169" t="inlineStr">
        <is>
          <t>box</t>
        </is>
      </c>
    </row>
    <row r="83" ht="32" customHeight="1" s="140">
      <c r="A83" s="441">
        <f>"All of it added up, then x "&amp;TEXT(D82,"0.0")&amp;" = "&amp;TEXT(N(F82),"#,##0")&amp;" seam plates — one number, one buy. Coping only counts where the wall is part of the roof."</f>
        <v/>
      </c>
    </row>
    <row r="84" ht="8" customHeight="1" s="140">
      <c r="A84" s="348" t="n"/>
      <c r="B84" s="348" t="n"/>
      <c r="C84" s="348" t="n"/>
      <c r="D84" s="348" t="n"/>
      <c r="E84" s="348" t="n"/>
      <c r="F84" s="348" t="n"/>
      <c r="G84" s="348" t="n"/>
      <c r="H84" s="348" t="n"/>
      <c r="I84" s="348" t="n"/>
      <c r="J84" s="348" t="n"/>
      <c r="K84" s="348" t="n"/>
      <c r="L84" s="348" t="n"/>
      <c r="M84" s="348" t="n"/>
    </row>
    <row r="85" ht="8" customHeight="1" s="140">
      <c r="A85" s="348" t="n"/>
      <c r="B85" s="348" t="n"/>
      <c r="C85" s="348" t="n"/>
      <c r="D85" s="348" t="n"/>
      <c r="E85" s="348" t="n"/>
      <c r="F85" s="348" t="n"/>
      <c r="G85" s="348" t="n"/>
      <c r="H85" s="348" t="n"/>
      <c r="I85" s="348" t="n"/>
      <c r="J85" s="348" t="n"/>
      <c r="K85" s="348" t="n"/>
      <c r="L85" s="348" t="n"/>
      <c r="M85" s="348" t="n"/>
    </row>
    <row r="86" ht="20" customHeight="1" s="140">
      <c r="A86" s="165" t="inlineStr">
        <is>
          <t>Fasteners  —  one per plate</t>
        </is>
      </c>
      <c r="B86" s="165" t="inlineStr">
        <is>
          <t>Screw</t>
        </is>
      </c>
      <c r="C86" s="165" t="inlineStr">
        <is>
          <t>Unit</t>
        </is>
      </c>
      <c r="D86" s="165" t="n"/>
      <c r="E86" s="165" t="inlineStr">
        <is>
          <t>Per box</t>
        </is>
      </c>
      <c r="F86" s="165" t="inlineStr">
        <is>
          <t>Screws</t>
        </is>
      </c>
      <c r="G86" s="165" t="inlineStr">
        <is>
          <t>Boxes</t>
        </is>
      </c>
      <c r="H86" s="165" t="inlineStr">
        <is>
          <t>Pkg</t>
        </is>
      </c>
    </row>
    <row r="87" ht="20" customHeight="1" s="140">
      <c r="A87" s="145" t="inlineStr">
        <is>
          <t>Insulation fasteners</t>
        </is>
      </c>
      <c r="B87" s="187">
        <f>IFERROR("#"&amp;TEXT(N(B36),"0")&amp;"  x  "&amp;TEXT(N(B35),"0")&amp;"in","")</f>
        <v/>
      </c>
      <c r="C87" s="169" t="inlineStr">
        <is>
          <t>screw</t>
        </is>
      </c>
      <c r="D87" s="263" t="n"/>
      <c r="E87" s="167" t="n">
        <v>1000</v>
      </c>
      <c r="F87" s="189">
        <f>IFERROR(N(F41),"")</f>
        <v/>
      </c>
      <c r="G87" s="188">
        <f>IFERROR(IF(OR(F87="",N(E87)=0),"",ROUNDUP(F87/E87,0)),"")</f>
        <v/>
      </c>
      <c r="H87" s="169" t="inlineStr">
        <is>
          <t>box</t>
        </is>
      </c>
    </row>
    <row r="88" ht="20" customHeight="1" s="140">
      <c r="A88" s="145" t="inlineStr">
        <is>
          <t>Seam fasteners  —  5"</t>
        </is>
      </c>
      <c r="B88" s="187">
        <f>IFERROR("#"&amp;TEXT(N(B37),"0")&amp;"  x  5in","")</f>
        <v/>
      </c>
      <c r="C88" s="169" t="inlineStr">
        <is>
          <t>screw</t>
        </is>
      </c>
      <c r="D88" s="263" t="n"/>
      <c r="E88" s="167" t="n">
        <v>500</v>
      </c>
      <c r="F88" s="189">
        <f>IFERROR(MAX(0,IF(ISNUMBER(SEARCH("WOOD",UPPER(Takeoff!L38))),N(F80),N(F82))-N(F89)-N(F90)),"")</f>
        <v/>
      </c>
      <c r="G88" s="188">
        <f>IFERROR(IF(OR(F88="",N(E88)=0),"",ROUNDUP(F88/E88,0)),"")</f>
        <v/>
      </c>
      <c r="H88" s="169" t="inlineStr">
        <is>
          <t>box</t>
        </is>
      </c>
      <c r="I88" s="448" t="inlineStr">
        <is>
          <t>the screws in the 7 in. and 8 in. boxes are SUBTRACTED here - same job, just longer where the crickets build up.</t>
        </is>
      </c>
    </row>
    <row r="89" ht="20" customHeight="1" s="140">
      <c r="A89" s="145" t="inlineStr">
        <is>
          <t>Seam fasteners  —  7"</t>
        </is>
      </c>
      <c r="B89" s="187" t="inlineStr">
        <is>
          <t>#15  x  7in</t>
        </is>
      </c>
      <c r="C89" s="169" t="inlineStr">
        <is>
          <t>screw</t>
        </is>
      </c>
      <c r="D89" s="263" t="n"/>
      <c r="E89" s="167" t="n">
        <v>500</v>
      </c>
      <c r="F89" s="189">
        <f>IFERROR(N(G89)*N(E89),"")</f>
        <v/>
      </c>
      <c r="G89" s="188" t="n"/>
      <c r="H89" s="169" t="inlineStr">
        <is>
          <t>box</t>
        </is>
      </c>
      <c r="I89" s="139" t="inlineStr">
        <is>
          <t>for the crickets — one box</t>
        </is>
      </c>
    </row>
    <row r="90" ht="20" customHeight="1" s="140">
      <c r="A90" s="145" t="inlineStr">
        <is>
          <t>Seam fasteners  —  8"</t>
        </is>
      </c>
      <c r="B90" s="187" t="inlineStr">
        <is>
          <t>#15  x  8in</t>
        </is>
      </c>
      <c r="C90" s="169" t="inlineStr">
        <is>
          <t>screw</t>
        </is>
      </c>
      <c r="D90" s="263" t="n"/>
      <c r="E90" s="167" t="n">
        <v>500</v>
      </c>
      <c r="F90" s="189">
        <f>IFERROR(N(G90)*N(E90),"")</f>
        <v/>
      </c>
      <c r="G90" s="188" t="n"/>
      <c r="H90" s="169" t="inlineStr">
        <is>
          <t>box</t>
        </is>
      </c>
      <c r="I90" s="139" t="inlineStr">
        <is>
          <t>for the crickets — one box</t>
        </is>
      </c>
    </row>
    <row r="91" ht="20" customHeight="1" s="140">
      <c r="A91" s="145" t="inlineStr">
        <is>
          <t>TOTAL SCREWS ON THIS ROOF</t>
        </is>
      </c>
      <c r="B91" s="187" t="n"/>
      <c r="C91" s="169" t="n"/>
      <c r="D91" s="263" t="n"/>
      <c r="E91" s="167" t="n"/>
      <c r="F91" s="189">
        <f>IFERROR(N(F87)+N(F88)+N(F89)+N(F90),"")</f>
        <v/>
      </c>
      <c r="G91" s="188">
        <f>IFERROR(N(G87)+N(G88)+N(G89)+N(G90),"")</f>
        <v/>
      </c>
      <c r="H91" s="169" t="inlineStr">
        <is>
          <t>box</t>
        </is>
      </c>
    </row>
    <row r="92" ht="32" customHeight="1" s="140">
      <c r="A92" s="441">
        <f>"Seam plates call for "&amp;TEXT(IF(ISNUMBER(SEARCH("WOOD",UPPER(Takeoff!L38))),N(F80),N(F82)),"#,##0")&amp;" screws.   Take out "&amp;TEXT(N(F89)+N(F90),"#,##0")&amp;" that go long ("&amp;TEXT(N(G89),"0")&amp;" box at 7in + "&amp;TEXT(N(G90),"0")&amp;" box at 8in) and "&amp;TEXT(N(F88),"#,##0")&amp;" are left at 5in = "&amp;TEXT(N(G88),"0")&amp;" box.   "&amp;TEXT(N(G88)+N(G89)+N(G90),"0")&amp;" boxes of seam screw either way - the long ones come OUT of the 5 in. count, never on top of it."</f>
        <v/>
      </c>
    </row>
    <row r="93" ht="22" customHeight="1" s="140">
      <c r="A93" s="143" t="inlineStr">
        <is>
          <t>5 · ADHESIVE &amp; CONSUMABLES</t>
        </is>
      </c>
    </row>
    <row r="94" ht="20" customHeight="1" s="140">
      <c r="A94" s="145" t="inlineStr">
        <is>
          <t>Curb flashing height</t>
        </is>
      </c>
      <c r="B94" s="187" t="n">
        <v>2</v>
      </c>
      <c r="C94" s="169" t="inlineStr">
        <is>
          <t>ft</t>
        </is>
      </c>
      <c r="D94" s="263" t="n"/>
      <c r="E94" s="447" t="inlineStr">
        <is>
          <t>turns the curb LF into square feet for the adhesive. Lives here, not on the Takeoff page.</t>
        </is>
      </c>
      <c r="F94" s="189" t="n"/>
      <c r="G94" s="188" t="n"/>
      <c r="H94" s="169" t="n"/>
    </row>
    <row r="95" ht="32" customHeight="1" s="140">
      <c r="A95" s="443" t="inlineStr">
        <is>
          <t>"THE DIVISOR IS NOT THE SAME ON A TEAR-OFF AS IT IS ON NEW CONSTRUCTION. A tear-off has overnight tie-ins all day long, so every one of these gets used harder: more cut edges to seal, more cleaner, more rags. The job type comes off the EXISTING page and the divisors switch themselves. Recover is not set yet."</t>
        </is>
      </c>
    </row>
    <row r="96" ht="20" customHeight="1" s="140">
      <c r="A96" s="165" t="inlineStr">
        <is>
          <t>Item</t>
        </is>
      </c>
      <c r="B96" s="165" t="inlineStr">
        <is>
          <t>Driver</t>
        </is>
      </c>
      <c r="C96" s="165" t="inlineStr">
        <is>
          <t>Unit</t>
        </is>
      </c>
      <c r="D96" s="165" t="inlineStr">
        <is>
          <t>Factor</t>
        </is>
      </c>
      <c r="E96" s="165" t="inlineStr">
        <is>
          <t>What the factor means</t>
        </is>
      </c>
      <c r="F96" s="165" t="inlineStr">
        <is>
          <t>RAW</t>
        </is>
      </c>
      <c r="G96" s="165" t="inlineStr">
        <is>
          <t>Qty</t>
        </is>
      </c>
      <c r="H96" s="165" t="inlineStr">
        <is>
          <t>Pkg</t>
        </is>
      </c>
    </row>
    <row r="97" ht="20" customHeight="1" s="140">
      <c r="A97" s="145" t="inlineStr">
        <is>
          <t>Bonding adhesive</t>
        </is>
      </c>
      <c r="B97" s="187">
        <f>IFERROR(N(G8)+N(Takeoff!B26)*N(B94)/100,"")</f>
        <v/>
      </c>
      <c r="C97" s="169" t="inlineStr">
        <is>
          <t>wall sq + curb sq</t>
        </is>
      </c>
      <c r="D97" s="263" t="n">
        <v>3</v>
      </c>
      <c r="E97" s="167" t="inlineStr">
        <is>
          <t>wall squares plus the curb, per pail</t>
        </is>
      </c>
      <c r="F97" s="189">
        <f>IFERROR(IF(OR(B97="",D97="",D97=0),"",B97/D97),"")</f>
        <v/>
      </c>
      <c r="G97" s="188">
        <f>IFERROR(IF(F97="","",ROUNDUP(F97,0)),"")</f>
        <v/>
      </c>
      <c r="H97" s="169" t="inlineStr">
        <is>
          <t>pail</t>
        </is>
      </c>
    </row>
    <row r="98" ht="20" customHeight="1" s="140">
      <c r="A98" s="145" t="inlineStr">
        <is>
          <t>Unsupported / flashing</t>
        </is>
      </c>
      <c r="B98" s="187">
        <f>IFERROR(G9,"")</f>
        <v/>
      </c>
      <c r="C98" s="169" t="inlineStr">
        <is>
          <t>total sq</t>
        </is>
      </c>
      <c r="D98" s="263" t="n">
        <v>150</v>
      </c>
      <c r="E98" s="167" t="inlineStr">
        <is>
          <t>one roll every 150 squares</t>
        </is>
      </c>
      <c r="F98" s="189">
        <f>IFERROR(IF(OR(B98="",D98="",D98=0),"",B98/D98),"")</f>
        <v/>
      </c>
      <c r="G98" s="188">
        <f>IFERROR(IF(F98="","",IF(MOD(F98,1)&lt;=0.25,ROUNDDOWN(F98,0),ROUNDUP(F98,0))),"")</f>
        <v/>
      </c>
      <c r="H98" s="169" t="inlineStr">
        <is>
          <t>roll</t>
        </is>
      </c>
    </row>
    <row r="99" ht="20" customHeight="1" s="140">
      <c r="A99" s="145" t="inlineStr">
        <is>
          <t>TPO cleaner  5g</t>
        </is>
      </c>
      <c r="B99" s="187">
        <f>IFERROR(G9,"")</f>
        <v/>
      </c>
      <c r="C99" s="169" t="inlineStr">
        <is>
          <t>total sq</t>
        </is>
      </c>
      <c r="D99" s="263">
        <f>IF(ISNUMBER(SEARCH("TEAR",UPPER(Existing!B6))),30,75)</f>
        <v/>
      </c>
      <c r="E99" s="167">
        <f>IF(ISNUMBER(SEARCH("TEAR",UPPER(Existing!B6))),"TEAR-OFF: one 5-gallon can every 30 squares. All the tie-ins mean a lot more cleaning.","NEW CONSTRUCTION: one 5-gallon can every 75 squares.")</f>
        <v/>
      </c>
      <c r="F99" s="189">
        <f>IFERROR(IF(OR(B99="",D99="",D99=0),"",B99/D99),"")</f>
        <v/>
      </c>
      <c r="G99" s="188">
        <f>IFERROR(IF(F99="","",IF(MOD(F99,1)&lt;=0.25,ROUNDDOWN(F99,0),ROUNDUP(F99,0))),"")</f>
        <v/>
      </c>
      <c r="H99" s="169" t="inlineStr">
        <is>
          <t>can</t>
        </is>
      </c>
    </row>
    <row r="100" ht="20" customHeight="1" s="140">
      <c r="A100" s="145" t="inlineStr">
        <is>
          <t>TPO T-joints</t>
        </is>
      </c>
      <c r="B100" s="187">
        <f>IFERROR(G9,"")</f>
        <v/>
      </c>
      <c r="C100" s="169" t="inlineStr">
        <is>
          <t>total sq</t>
        </is>
      </c>
      <c r="D100" s="263" t="n">
        <v>100</v>
      </c>
      <c r="E100" s="167" t="inlineStr">
        <is>
          <t>one box of 100 every 100 squares</t>
        </is>
      </c>
      <c r="F100" s="189">
        <f>IFERROR(IF(OR(B100="",D100="",D100=0),"",B100/D100),"")</f>
        <v/>
      </c>
      <c r="G100" s="188">
        <f>IFERROR(IF(F100="","",IF(MOD(F100,1)&lt;=0.25,ROUNDDOWN(F100,0),ROUNDUP(F100,0))),"")</f>
        <v/>
      </c>
      <c r="H100" s="169" t="inlineStr">
        <is>
          <t>box</t>
        </is>
      </c>
    </row>
    <row r="101" ht="20" customHeight="1" s="140">
      <c r="A101" s="145" t="inlineStr">
        <is>
          <t>TPO cut-edge sealant</t>
        </is>
      </c>
      <c r="B101" s="187">
        <f>IFERROR(G9,"")</f>
        <v/>
      </c>
      <c r="C101" s="169" t="inlineStr">
        <is>
          <t>total sq</t>
        </is>
      </c>
      <c r="D101" s="263">
        <f>IF(ISNUMBER(SEARCH("TEAR",UPPER(Existing!B6))),15,30)</f>
        <v/>
      </c>
      <c r="E101" s="167">
        <f>IF(ISNUMBER(SEARCH("TEAR",UPPER(Existing!B6))),"TEAR-OFF: one tube every 15 squares. Every place you cut a roll needs it, and a tear-off has far more overnight tie-ins than normal.","NEW CONSTRUCTION: one tube every 30 squares.")</f>
        <v/>
      </c>
      <c r="F101" s="189">
        <f>IFERROR(IF(OR(B101="",D101="",D101=0),"",B101/D101),"")</f>
        <v/>
      </c>
      <c r="G101" s="188">
        <f>IFERROR(IF(F101="","",IF(MOD(F101,1)&lt;=0.25,ROUNDDOWN(F101,0),ROUNDUP(F101,0))),"")</f>
        <v/>
      </c>
      <c r="H101" s="169" t="inlineStr">
        <is>
          <t>tube</t>
        </is>
      </c>
    </row>
    <row r="102" ht="20" customHeight="1" s="140">
      <c r="A102" s="145" t="inlineStr">
        <is>
          <t>TPO LVOC all-purpose</t>
        </is>
      </c>
      <c r="B102" s="187">
        <f>IFERROR(G9,"")</f>
        <v/>
      </c>
      <c r="C102" s="169" t="inlineStr">
        <is>
          <t>total sq</t>
        </is>
      </c>
      <c r="D102" s="263">
        <f>IF(ISNUMBER(SEARCH("TEAR",UPPER(Existing!B6))),10,20)</f>
        <v/>
      </c>
      <c r="E102" s="167">
        <f>IF(ISNUMBER(SEARCH("TEAR",UPPER(Existing!B6))),"TEAR-OFF: one can every 10 squares.","NEW CONSTRUCTION: one can every 20 squares.")</f>
        <v/>
      </c>
      <c r="F102" s="189">
        <f>IFERROR(IF(OR(B102="",D102="",D102=0),"",B102/D102),"")</f>
        <v/>
      </c>
      <c r="G102" s="188">
        <f>IFERROR(IF(F102="","",ROUNDUP(F102,0)),"")</f>
        <v/>
      </c>
      <c r="H102" s="169" t="inlineStr">
        <is>
          <t>can</t>
        </is>
      </c>
    </row>
    <row r="103" ht="20" customHeight="1" s="140">
      <c r="A103" s="145" t="inlineStr">
        <is>
          <t>Water block</t>
        </is>
      </c>
      <c r="B103" s="187">
        <f>IFERROR(N(G102)+N(Takeoff!B34),"")</f>
        <v/>
      </c>
      <c r="C103" s="169" t="inlineStr">
        <is>
          <t>cans + drains</t>
        </is>
      </c>
      <c r="D103" s="263" t="n">
        <v>1</v>
      </c>
      <c r="E103" s="167">
        <f>"one for every LVOC can, plus one for every drain. The drains get added no matter what — tear-off or new construction."</f>
        <v/>
      </c>
      <c r="F103" s="189">
        <f>IFERROR(IF(OR(B103="",D103="",D103=0),"",B103/D103),"")</f>
        <v/>
      </c>
      <c r="G103" s="188">
        <f>IFERROR(IF(F103="","",ROUNDUP(F103,0)),"")</f>
        <v/>
      </c>
      <c r="H103" s="169" t="inlineStr">
        <is>
          <t>tube</t>
        </is>
      </c>
    </row>
    <row r="104" ht="20" customHeight="1" s="140">
      <c r="A104" s="145" t="inlineStr">
        <is>
          <t>Backer rod</t>
        </is>
      </c>
      <c r="B104" s="187">
        <f>IFERROR(N(Takeoff!B31),"")</f>
        <v/>
      </c>
      <c r="C104" s="169" t="inlineStr">
        <is>
          <t>roof hatch</t>
        </is>
      </c>
      <c r="D104" s="263" t="n">
        <v>1</v>
      </c>
      <c r="E104" s="167" t="inlineStr">
        <is>
          <t>one bag per roof hatch</t>
        </is>
      </c>
      <c r="F104" s="189">
        <f>IFERROR(IF(OR(B104="",D104="",D104=0),"",B104/D104),"")</f>
        <v/>
      </c>
      <c r="G104" s="188">
        <f>IFERROR(IF(F104="","",ROUNDUP(F104,0)),"")</f>
        <v/>
      </c>
      <c r="H104" s="169" t="inlineStr">
        <is>
          <t>bag</t>
        </is>
      </c>
    </row>
    <row r="105" ht="20" customHeight="1" s="140">
      <c r="A105" s="145" t="inlineStr">
        <is>
          <t>Rags</t>
        </is>
      </c>
      <c r="B105" s="187">
        <f>IFERROR(G9,"")</f>
        <v/>
      </c>
      <c r="C105" s="169" t="inlineStr">
        <is>
          <t>total sq</t>
        </is>
      </c>
      <c r="D105" s="263">
        <f>IF(ISNUMBER(SEARCH("TEAR",UPPER(Existing!B6))),15,30)</f>
        <v/>
      </c>
      <c r="E105" s="167">
        <f>IF(ISNUMBER(SEARCH("TEAR",UPPER(Existing!B6))),"TEAR-OFF: one box every 15 squares.","NEW CONSTRUCTION: one box every 30 squares.")</f>
        <v/>
      </c>
      <c r="F105" s="189">
        <f>IFERROR(IF(OR(B105="",D105="",D105=0),"",B105/D105),"")</f>
        <v/>
      </c>
      <c r="G105" s="188">
        <f>IFERROR(IF(F105="","",ROUNDUP(F105,0)),"")</f>
        <v/>
      </c>
      <c r="H105" s="169" t="inlineStr">
        <is>
          <t>box</t>
        </is>
      </c>
    </row>
    <row r="106" ht="20" customHeight="1" s="140">
      <c r="A106" s="145" t="inlineStr">
        <is>
          <t>Hose clamps</t>
        </is>
      </c>
      <c r="B106" s="187">
        <f>IFERROR(G9,"")</f>
        <v/>
      </c>
      <c r="C106" s="169" t="inlineStr">
        <is>
          <t>total sq</t>
        </is>
      </c>
      <c r="D106" s="263" t="n">
        <v>25</v>
      </c>
      <c r="E106" s="167">
        <f>"A QUARTER ROLL EVERY 25 SQUARES.  Under 20 sq = 1/4 roll · 50 sq = 1/2 · 75 sq = 3/4 · 100 sq = 1 roll, and up in quarters from there."</f>
        <v/>
      </c>
      <c r="F106" s="189">
        <f>IFERROR(IF(OR(B106="",D106="",D106=0),"",B106/D106),"")</f>
        <v/>
      </c>
      <c r="G106" s="256">
        <f>IFERROR(IF(F106="","",MAX(0.25,ROUNDUP(F106,0)/4)),"")</f>
        <v/>
      </c>
      <c r="H106" s="169" t="inlineStr">
        <is>
          <t>roll</t>
        </is>
      </c>
    </row>
    <row r="107" ht="20" customHeight="1" s="140">
      <c r="A107" s="145" t="inlineStr">
        <is>
          <t>Retro drains</t>
        </is>
      </c>
      <c r="B107" s="187">
        <f>IFERROR(IF(ISNUMBER(SEARCH("TEAR",UPPER(Existing!B6))),N(Takeoff!B34),0),"")</f>
        <v/>
      </c>
      <c r="C107" s="169" t="inlineStr">
        <is>
          <t>drains</t>
        </is>
      </c>
      <c r="D107" s="263" t="n">
        <v>1</v>
      </c>
      <c r="E107" s="167">
        <f>IF(ISNUMBER(SEARCH("TEAR",UPPER(Existing!B6))),"one retro drain per existing drain — tear-off only","NEW CONSTRUCTION: a retro drain is never an option here")</f>
        <v/>
      </c>
      <c r="F107" s="189">
        <f>IFERROR(IF(OR(B107="",D107="",D107=0),"",B107/D107),"")</f>
        <v/>
      </c>
      <c r="G107" s="188">
        <f>IFERROR(IF(F107="","",ROUNDUP(F107,0)),"")</f>
        <v/>
      </c>
      <c r="H107" s="169" t="inlineStr">
        <is>
          <t>ea</t>
        </is>
      </c>
    </row>
    <row r="108" ht="20" customHeight="1" s="140">
      <c r="A108" s="145" t="inlineStr">
        <is>
          <t>Rollers</t>
        </is>
      </c>
      <c r="B108" s="187">
        <f>IFERROR(N(G8)+N(Takeoff!B26)*N(B94)/100,"")</f>
        <v/>
      </c>
      <c r="C108" s="169" t="inlineStr">
        <is>
          <t>adhesive sq</t>
        </is>
      </c>
      <c r="D108" s="263" t="n">
        <v>3</v>
      </c>
      <c r="E108" s="167" t="inlineStr">
        <is>
          <t>one roller every 3 squares of adhesive</t>
        </is>
      </c>
      <c r="F108" s="189">
        <f>IFERROR(IF(OR(B108="",D108="",D108=0),"",B108/D108),"")</f>
        <v/>
      </c>
      <c r="G108" s="188">
        <f>IFERROR(IF(F108="","",ROUNDUP(F108,0)),"")</f>
        <v/>
      </c>
      <c r="H108" s="169" t="inlineStr">
        <is>
          <t>ea</t>
        </is>
      </c>
    </row>
    <row r="109" ht="20" customHeight="1" s="140">
      <c r="A109" s="145" t="inlineStr">
        <is>
          <t>Cages</t>
        </is>
      </c>
      <c r="B109" s="187">
        <f>IFERROR(N(G8)+N(Takeoff!B26)*N(B94)/100,"")</f>
        <v/>
      </c>
      <c r="C109" s="169" t="inlineStr">
        <is>
          <t>adhesive sq</t>
        </is>
      </c>
      <c r="D109" s="263" t="n">
        <v>3</v>
      </c>
      <c r="E109" s="167" t="inlineStr">
        <is>
          <t>one cage every 3 squares of adhesive</t>
        </is>
      </c>
      <c r="F109" s="189">
        <f>IFERROR(IF(OR(B109="",D109="",D109=0),"",B109/D109),"")</f>
        <v/>
      </c>
      <c r="G109" s="188">
        <f>IFERROR(IF(F109="","",ROUNDUP(F109,0)),"")</f>
        <v/>
      </c>
      <c r="H109" s="169" t="inlineStr">
        <is>
          <t>ea</t>
        </is>
      </c>
    </row>
    <row r="110" ht="20" customHeight="1" s="140">
      <c r="A110" s="145" t="inlineStr">
        <is>
          <t>Sticks</t>
        </is>
      </c>
      <c r="B110" s="187">
        <f>IFERROR(G9,"")</f>
        <v/>
      </c>
      <c r="C110" s="169" t="inlineStr">
        <is>
          <t>total sq</t>
        </is>
      </c>
      <c r="D110" s="263" t="n">
        <v>50</v>
      </c>
      <c r="E110" s="167" t="inlineStr">
        <is>
          <t>one stick every 50 squares</t>
        </is>
      </c>
      <c r="F110" s="189">
        <f>IFERROR(IF(OR(B110="",D110="",D110=0),"",B110/D110),"")</f>
        <v/>
      </c>
      <c r="G110" s="188">
        <f>IFERROR(IF(F110="","",ROUNDUP(F110,0)),"")</f>
        <v/>
      </c>
      <c r="H110" s="169" t="inlineStr">
        <is>
          <t>ea</t>
        </is>
      </c>
    </row>
    <row r="111" ht="20" customHeight="1" s="140">
      <c r="A111" s="145" t="inlineStr">
        <is>
          <t>Primer</t>
        </is>
      </c>
      <c r="B111" s="187">
        <f>IFERROR(IF(N(Takeoff!B66)&gt;0,N(Takeoff!B66),N(Takeoff!B76)),"")</f>
        <v/>
      </c>
      <c r="C111" s="169" t="inlineStr">
        <is>
          <t>gravel stop LF</t>
        </is>
      </c>
      <c r="D111" s="263" t="n">
        <v>300</v>
      </c>
      <c r="E111" s="167" t="inlineStr">
        <is>
          <t>one 3-gallon can every 300 ft of gravel stop</t>
        </is>
      </c>
      <c r="F111" s="189">
        <f>IFERROR(IF(OR(B111="",D111="",D111=0),"",B111/D111),"")</f>
        <v/>
      </c>
      <c r="G111" s="188">
        <f>IFERROR(IF(F111="","",IF(MOD(F111,1)&lt;=0.25,ROUNDDOWN(F111,0),ROUNDUP(F111,0))),"")</f>
        <v/>
      </c>
      <c r="H111" s="169" t="inlineStr">
        <is>
          <t>can</t>
        </is>
      </c>
    </row>
    <row r="112" ht="20" customHeight="1" s="140">
      <c r="A112" s="145" t="inlineStr">
        <is>
          <t>Brushes</t>
        </is>
      </c>
      <c r="B112" s="187">
        <f>IFERROR(IF(N(Takeoff!B66)&gt;0,N(Takeoff!B66),N(Takeoff!B76)),"")</f>
        <v/>
      </c>
      <c r="C112" s="169" t="inlineStr">
        <is>
          <t>gravel stop LF</t>
        </is>
      </c>
      <c r="D112" s="263" t="n">
        <v>50</v>
      </c>
      <c r="E112" s="167" t="inlineStr">
        <is>
          <t>one brush every 50 ft of gravel stop</t>
        </is>
      </c>
      <c r="F112" s="189">
        <f>IFERROR(IF(OR(B112="",D112="",D112=0),"",B112/D112),"")</f>
        <v/>
      </c>
      <c r="G112" s="188">
        <f>IFERROR(IF(F112="","",ROUNDUP(F112,0)),"")</f>
        <v/>
      </c>
      <c r="H112" s="169" t="inlineStr">
        <is>
          <t>ea</t>
        </is>
      </c>
    </row>
    <row r="113" ht="20" customHeight="1" s="140">
      <c r="A113" s="145" t="inlineStr">
        <is>
          <t>TPO cover tape</t>
        </is>
      </c>
      <c r="B113" s="187">
        <f>IFERROR(IF(N(Takeoff!B66)&gt;0,N(Takeoff!B66),N(Takeoff!B76)),"")</f>
        <v/>
      </c>
      <c r="C113" s="169" t="inlineStr">
        <is>
          <t>gravel stop LF</t>
        </is>
      </c>
      <c r="D113" s="263" t="n">
        <v>100</v>
      </c>
      <c r="E113" s="167" t="inlineStr">
        <is>
          <t>100 ft roll — gravel stop LF ÷ 100</t>
        </is>
      </c>
      <c r="F113" s="189">
        <f>IFERROR(IF(OR(B113="",D113="",D113=0),"",B113/D113),"")</f>
        <v/>
      </c>
      <c r="G113" s="188">
        <f>IFERROR(IF(F113="","",ROUNDUP(F113,0)),"")</f>
        <v/>
      </c>
      <c r="H113" s="169" t="inlineStr">
        <is>
          <t>roll</t>
        </is>
      </c>
    </row>
    <row r="114" ht="20" customHeight="1" s="140">
      <c r="A114" s="145" t="inlineStr">
        <is>
          <t>TPO corners</t>
        </is>
      </c>
      <c r="B114" s="187">
        <f>IFERROR(N(Takeoff!F22),"")</f>
        <v/>
      </c>
      <c r="C114" s="169" t="inlineStr">
        <is>
          <t>curbs</t>
        </is>
      </c>
      <c r="D114" s="263" t="n">
        <v>4</v>
      </c>
      <c r="E114" s="167" t="inlineStr">
        <is>
          <t>4 corners on every curb. Unsupported still carries the odd details.</t>
        </is>
      </c>
      <c r="F114" s="189">
        <f>IFERROR(IF(OR(B114="",D114=""),"",B114*D114),"")</f>
        <v/>
      </c>
      <c r="G114" s="188">
        <f>IFERROR(IF(F114="","",ROUNDUP(F114,0)),"")</f>
        <v/>
      </c>
      <c r="H114" s="169" t="inlineStr">
        <is>
          <t>ea</t>
        </is>
      </c>
    </row>
    <row r="115" ht="20" customHeight="1" s="140">
      <c r="A115" s="145" t="inlineStr">
        <is>
          <t>Nailers</t>
        </is>
      </c>
      <c r="B115" s="187">
        <f>IFERROR(Takeoff!B46,"")</f>
        <v/>
      </c>
      <c r="C115" s="169" t="inlineStr">
        <is>
          <t>LF</t>
        </is>
      </c>
      <c r="D115" s="263" t="n"/>
      <c r="E115" s="167" t="inlineStr">
        <is>
          <t>TBD</t>
        </is>
      </c>
      <c r="F115" s="189">
        <f>IFERROR(IF(OR(B115="",D115="",D115=0),"",B115/D115),"")</f>
        <v/>
      </c>
      <c r="G115" s="188">
        <f>IFERROR(IF(F115="","",ROUNDUP(F115,0)),"")</f>
        <v/>
      </c>
      <c r="H115" s="169" t="inlineStr">
        <is>
          <t>LF</t>
        </is>
      </c>
    </row>
    <row r="116" ht="32" customHeight="1" s="140">
      <c r="A116" s="441" t="inlineStr">
        <is>
          <t>"Every one of these is DRIVER ÷ DIVISOR. Say the divisor and the line locks."</t>
        </is>
      </c>
    </row>
    <row r="117" ht="32" customHeight="1" s="140">
      <c r="A117" s="436" t="inlineStr">
        <is>
          <t>6 · FLAT METAL   —   sheet counts come straight off the Takeoff page</t>
        </is>
      </c>
    </row>
    <row r="118" ht="20" customHeight="1" s="140">
      <c r="A118" s="165" t="inlineStr">
        <is>
          <t>Item</t>
        </is>
      </c>
      <c r="B118" s="165" t="inlineStr">
        <is>
          <t>LF</t>
        </is>
      </c>
      <c r="C118" s="165" t="inlineStr">
        <is>
          <t>Unit</t>
        </is>
      </c>
      <c r="D118" s="165" t="n"/>
      <c r="E118" s="165" t="inlineStr">
        <is>
          <t>Supply method</t>
        </is>
      </c>
      <c r="F118" s="165" t="n"/>
      <c r="G118" s="165" t="inlineStr">
        <is>
          <t>ORDER qty</t>
        </is>
      </c>
      <c r="H118" s="165" t="inlineStr">
        <is>
          <t>Unit</t>
        </is>
      </c>
    </row>
    <row r="119" ht="20" customHeight="1" s="140">
      <c r="A119" s="145" t="inlineStr">
        <is>
          <t>Coping</t>
        </is>
      </c>
      <c r="B119" s="187">
        <f>IFERROR(Takeoff!B62,"")</f>
        <v/>
      </c>
      <c r="C119" s="169" t="inlineStr">
        <is>
          <t>LF</t>
        </is>
      </c>
      <c r="D119" s="263" t="n"/>
      <c r="E119" s="167">
        <f>IFERROR(IF(UPPER(Takeoff!B51)="Y","fabricate","prefab — buy by the foot"),"")</f>
        <v/>
      </c>
      <c r="F119" s="189" t="n"/>
      <c r="G119" s="188">
        <f>IFERROR(IF(UPPER(Takeoff!B51)="Y",Takeoff!G62,Takeoff!B62),"")</f>
        <v/>
      </c>
      <c r="H119" s="467">
        <f>IFERROR(IF(UPPER(Takeoff!B51)="Y","sheet","LF"),"")</f>
        <v/>
      </c>
    </row>
    <row r="120" ht="20" customHeight="1" s="140">
      <c r="A120" s="145" t="inlineStr">
        <is>
          <t>Gravel stop</t>
        </is>
      </c>
      <c r="B120" s="187">
        <f>IFERROR(Takeoff!B76,"")</f>
        <v/>
      </c>
      <c r="C120" s="169" t="inlineStr">
        <is>
          <t>LF</t>
        </is>
      </c>
      <c r="D120" s="263" t="n"/>
      <c r="E120" s="167">
        <f>IFERROR(IF(UPPER(Takeoff!B65)="Y","fabricate","prefab — buy by the foot"),"")</f>
        <v/>
      </c>
      <c r="F120" s="189" t="n"/>
      <c r="G120" s="188">
        <f>IFERROR(IF(UPPER(Takeoff!B65)="Y",Takeoff!G76,Takeoff!B76),"")</f>
        <v/>
      </c>
      <c r="H120" s="467">
        <f>IFERROR(IF(UPPER(Takeoff!B65)="Y","sheet","LF"),"")</f>
        <v/>
      </c>
    </row>
    <row r="121" ht="20" customHeight="1" s="140">
      <c r="A121" s="145" t="inlineStr">
        <is>
          <t>Counter flashing</t>
        </is>
      </c>
      <c r="B121" s="187">
        <f>IFERROR(Takeoff!B90,"")</f>
        <v/>
      </c>
      <c r="C121" s="169" t="inlineStr">
        <is>
          <t>LF</t>
        </is>
      </c>
      <c r="D121" s="263" t="n"/>
      <c r="E121" s="167">
        <f>IFERROR(IF(UPPER(Takeoff!B79)="Y","fabricate","prefab — buy by the foot"),"")</f>
        <v/>
      </c>
      <c r="F121" s="189" t="n"/>
      <c r="G121" s="188">
        <f>IFERROR(IF(UPPER(Takeoff!B79)="Y",Takeoff!G90,Takeoff!B90),"")</f>
        <v/>
      </c>
      <c r="H121" s="467">
        <f>IFERROR(IF(UPPER(Takeoff!B79)="Y","sheet","LF"),"")</f>
        <v/>
      </c>
    </row>
    <row r="122" ht="20" customHeight="1" s="140">
      <c r="A122" s="145" t="inlineStr">
        <is>
          <t>Downspouts</t>
        </is>
      </c>
      <c r="B122" s="187">
        <f>IFERROR(Takeoff!B94,"")</f>
        <v/>
      </c>
      <c r="C122" s="169" t="inlineStr">
        <is>
          <t>LF</t>
        </is>
      </c>
      <c r="D122" s="263" t="n"/>
      <c r="E122" s="167">
        <f>IFERROR(IF(UPPER(Takeoff!H94)="Y","fabricate","prefab — buy by the foot"),"")</f>
        <v/>
      </c>
      <c r="F122" s="189" t="n"/>
      <c r="G122" s="188">
        <f>IFERROR(IF(UPPER(Takeoff!H94)="Y",Takeoff!G94,Takeoff!B94),"")</f>
        <v/>
      </c>
      <c r="H122" s="467">
        <f>IFERROR(IF(UPPER(Takeoff!H94)="Y","sheet","LF"),"")</f>
        <v/>
      </c>
    </row>
    <row r="123" ht="20" customHeight="1" s="140">
      <c r="A123" s="145" t="inlineStr">
        <is>
          <t>Gutters</t>
        </is>
      </c>
      <c r="B123" s="187">
        <f>IFERROR(Takeoff!B95,"")</f>
        <v/>
      </c>
      <c r="C123" s="169" t="inlineStr">
        <is>
          <t>LF</t>
        </is>
      </c>
      <c r="D123" s="263" t="n"/>
      <c r="E123" s="167">
        <f>IFERROR(IF(UPPER(Takeoff!H95)="Y","fabricate","prefab — buy by the foot"),"")</f>
        <v/>
      </c>
      <c r="F123" s="189" t="n"/>
      <c r="G123" s="188">
        <f>IFERROR(IF(UPPER(Takeoff!H95)="Y",Takeoff!G95,Takeoff!B95),"")</f>
        <v/>
      </c>
      <c r="H123" s="467">
        <f>IFERROR(IF(UPPER(Takeoff!H95)="Y","sheet","LF"),"")</f>
        <v/>
      </c>
    </row>
    <row r="124" ht="20" customHeight="1" s="140">
      <c r="A124" s="145" t="inlineStr">
        <is>
          <t>Coping cleat</t>
        </is>
      </c>
      <c r="B124" s="187">
        <f>IFERROR(Takeoff!B62,"")</f>
        <v/>
      </c>
      <c r="C124" s="169" t="inlineStr">
        <is>
          <t>LF</t>
        </is>
      </c>
      <c r="D124" s="263" t="n"/>
      <c r="E124" s="167" t="inlineStr">
        <is>
          <t>Takeoff E5</t>
        </is>
      </c>
      <c r="F124" s="189" t="n"/>
      <c r="G124" s="188">
        <f>IFERROR(Takeoff!G102,"")</f>
        <v/>
      </c>
      <c r="H124" s="169" t="inlineStr">
        <is>
          <t>sheet</t>
        </is>
      </c>
    </row>
    <row r="125" ht="20" customHeight="1" s="140">
      <c r="A125" s="145" t="inlineStr">
        <is>
          <t>Gravel stop cleat</t>
        </is>
      </c>
      <c r="B125" s="187">
        <f>IFERROR(Takeoff!B76,"")</f>
        <v/>
      </c>
      <c r="C125" s="169" t="inlineStr">
        <is>
          <t>LF</t>
        </is>
      </c>
      <c r="D125" s="263" t="n"/>
      <c r="E125" s="167" t="inlineStr">
        <is>
          <t>Takeoff E5</t>
        </is>
      </c>
      <c r="F125" s="189" t="n"/>
      <c r="G125" s="188">
        <f>IFERROR(Takeoff!G103,"")</f>
        <v/>
      </c>
      <c r="H125" s="169" t="inlineStr">
        <is>
          <t>sheet</t>
        </is>
      </c>
    </row>
    <row r="126" ht="8" customHeight="1" s="140">
      <c r="A126" s="348" t="n"/>
      <c r="B126" s="348" t="n"/>
      <c r="C126" s="348" t="n"/>
      <c r="D126" s="348" t="n"/>
      <c r="E126" s="348" t="n"/>
      <c r="F126" s="348" t="n"/>
      <c r="G126" s="348" t="n"/>
      <c r="H126" s="348" t="n"/>
      <c r="I126" s="348" t="n"/>
      <c r="J126" s="348" t="n"/>
      <c r="K126" s="348" t="n"/>
      <c r="L126" s="348" t="n"/>
      <c r="M126" s="348" t="n"/>
    </row>
    <row r="127" ht="8" customHeight="1" s="140">
      <c r="A127" s="348" t="n"/>
      <c r="B127" s="348" t="n"/>
      <c r="C127" s="348" t="n"/>
      <c r="D127" s="348" t="n"/>
      <c r="E127" s="348" t="n"/>
      <c r="F127" s="348" t="n"/>
      <c r="G127" s="348" t="n"/>
      <c r="H127" s="348" t="n"/>
      <c r="I127" s="348" t="n"/>
      <c r="J127" s="348" t="n"/>
      <c r="K127" s="348" t="n"/>
      <c r="L127" s="348" t="n"/>
      <c r="M127" s="348" t="n"/>
    </row>
    <row r="128" ht="22" customHeight="1" s="140">
      <c r="A128" s="143" t="inlineStr">
        <is>
          <t>7 · PENETRATIONS, CURBS &amp; ACCESSORIES</t>
        </is>
      </c>
    </row>
    <row r="129" ht="20" customHeight="1" s="140">
      <c r="A129" s="165" t="inlineStr">
        <is>
          <t>Item</t>
        </is>
      </c>
      <c r="B129" s="165" t="inlineStr">
        <is>
          <t>Qty</t>
        </is>
      </c>
      <c r="C129" s="165" t="inlineStr">
        <is>
          <t>Unit</t>
        </is>
      </c>
      <c r="D129" s="165" t="n"/>
      <c r="E129" s="165" t="inlineStr">
        <is>
          <t>Where it comes from</t>
        </is>
      </c>
      <c r="F129" s="165" t="n"/>
      <c r="G129" s="165" t="n"/>
      <c r="H129" s="165" t="n"/>
    </row>
    <row r="130" ht="20" customHeight="1" s="140">
      <c r="A130" s="145" t="inlineStr">
        <is>
          <t>Scuppers</t>
        </is>
      </c>
      <c r="B130" s="187">
        <f>IFERROR(Takeoff!B29,"")</f>
        <v/>
      </c>
      <c r="C130" s="169" t="inlineStr">
        <is>
          <t>ea</t>
        </is>
      </c>
      <c r="D130" s="263" t="n"/>
      <c r="E130" s="167" t="inlineStr">
        <is>
          <t>Takeoff B</t>
        </is>
      </c>
      <c r="F130" s="189" t="n"/>
      <c r="G130" s="188" t="n"/>
      <c r="H130" s="169" t="n"/>
    </row>
    <row r="131" ht="20" customHeight="1" s="140">
      <c r="A131" s="145" t="inlineStr">
        <is>
          <t>Collector heads</t>
        </is>
      </c>
      <c r="B131" s="187">
        <f>IFERROR(Takeoff!B30,"")</f>
        <v/>
      </c>
      <c r="C131" s="169" t="inlineStr">
        <is>
          <t>ea</t>
        </is>
      </c>
      <c r="D131" s="263" t="n"/>
      <c r="E131" s="167" t="inlineStr">
        <is>
          <t>Takeoff B</t>
        </is>
      </c>
      <c r="F131" s="189" t="n"/>
      <c r="G131" s="188" t="n"/>
      <c r="H131" s="169" t="n"/>
    </row>
    <row r="132" ht="20" customHeight="1" s="140">
      <c r="A132" s="145" t="inlineStr">
        <is>
          <t>Roof hatches</t>
        </is>
      </c>
      <c r="B132" s="187">
        <f>IFERROR(Takeoff!B31,"")</f>
        <v/>
      </c>
      <c r="C132" s="169" t="inlineStr">
        <is>
          <t>ea</t>
        </is>
      </c>
      <c r="D132" s="263" t="n"/>
      <c r="E132" s="167" t="inlineStr">
        <is>
          <t>Takeoff B</t>
        </is>
      </c>
      <c r="F132" s="189" t="n"/>
      <c r="G132" s="188" t="n"/>
      <c r="H132" s="169" t="n"/>
    </row>
    <row r="133" ht="20" customHeight="1" s="140">
      <c r="A133" s="145" t="inlineStr">
        <is>
          <t>Pitch pans</t>
        </is>
      </c>
      <c r="B133" s="187">
        <f>IFERROR(Takeoff!B27,"")</f>
        <v/>
      </c>
      <c r="C133" s="169" t="inlineStr">
        <is>
          <t>ea</t>
        </is>
      </c>
      <c r="D133" s="263" t="n"/>
      <c r="E133" s="167" t="inlineStr">
        <is>
          <t>Takeoff B</t>
        </is>
      </c>
      <c r="F133" s="189" t="n"/>
      <c r="G133" s="188" t="n"/>
      <c r="H133" s="169" t="n"/>
    </row>
    <row r="134" ht="20" customHeight="1" s="140">
      <c r="A134" s="145" t="inlineStr">
        <is>
          <t>Pipe boots</t>
        </is>
      </c>
      <c r="B134" s="187">
        <f>IFERROR(Takeoff!B28,"")</f>
        <v/>
      </c>
      <c r="C134" s="169" t="inlineStr">
        <is>
          <t>ea</t>
        </is>
      </c>
      <c r="D134" s="263" t="n"/>
      <c r="E134" s="167" t="inlineStr">
        <is>
          <t>Takeoff B</t>
        </is>
      </c>
      <c r="F134" s="189" t="n"/>
      <c r="G134" s="188" t="n"/>
      <c r="H134" s="169" t="n"/>
    </row>
    <row r="135" ht="20" customHeight="1" s="140">
      <c r="A135" s="145" t="inlineStr">
        <is>
          <t>Walkpads</t>
        </is>
      </c>
      <c r="B135" s="187">
        <f>IFERROR(Takeoff!B32,"")</f>
        <v/>
      </c>
      <c r="C135" s="169" t="inlineStr">
        <is>
          <t>LF</t>
        </is>
      </c>
      <c r="D135" s="263" t="n"/>
      <c r="E135" s="167" t="inlineStr">
        <is>
          <t>Takeoff B</t>
        </is>
      </c>
      <c r="F135" s="189" t="n"/>
      <c r="G135" s="188" t="n"/>
      <c r="H135" s="169" t="n"/>
    </row>
    <row r="136" ht="20" customHeight="1" s="140">
      <c r="A136" s="145" t="inlineStr">
        <is>
          <t>Cricket wall</t>
        </is>
      </c>
      <c r="B136" s="187">
        <f>IFERROR(Takeoff!B33,"")</f>
        <v/>
      </c>
      <c r="C136" s="169" t="inlineStr">
        <is>
          <t>LF</t>
        </is>
      </c>
      <c r="D136" s="263" t="n"/>
      <c r="E136" s="167" t="inlineStr">
        <is>
          <t>Takeoff B</t>
        </is>
      </c>
      <c r="F136" s="189" t="n"/>
      <c r="G136" s="188" t="n"/>
      <c r="H136" s="169" t="n"/>
    </row>
    <row r="137" ht="20" customHeight="1" s="140">
      <c r="A137" s="145" t="inlineStr">
        <is>
          <t>Curb flashing</t>
        </is>
      </c>
      <c r="B137" s="187">
        <f>IFERROR(Takeoff!B26,"")</f>
        <v/>
      </c>
      <c r="C137" s="169" t="inlineStr">
        <is>
          <t>LF</t>
        </is>
      </c>
      <c r="D137" s="263" t="n"/>
      <c r="E137" s="167" t="inlineStr">
        <is>
          <t>Takeoff B</t>
        </is>
      </c>
      <c r="F137" s="189" t="n"/>
      <c r="G137" s="188" t="n"/>
      <c r="H137" s="169" t="n"/>
    </row>
    <row r="138" ht="20" customHeight="1" s="140">
      <c r="A138" s="145" t="inlineStr">
        <is>
          <t>TPO molded pipe boots</t>
        </is>
      </c>
      <c r="B138" s="187" t="n"/>
      <c r="C138" s="169" t="inlineStr">
        <is>
          <t>ea</t>
        </is>
      </c>
      <c r="D138" s="263" t="n"/>
      <c r="E138" s="167" t="inlineStr">
        <is>
          <t>TBD</t>
        </is>
      </c>
      <c r="F138" s="189" t="n"/>
      <c r="G138" s="188" t="n"/>
      <c r="H138" s="169" t="n"/>
    </row>
    <row r="139" ht="20" customHeight="1" s="140">
      <c r="A139" s="145" t="inlineStr">
        <is>
          <t>Split pipe boots</t>
        </is>
      </c>
      <c r="B139" s="187" t="n"/>
      <c r="C139" s="169" t="inlineStr">
        <is>
          <t>ea</t>
        </is>
      </c>
      <c r="D139" s="263" t="n"/>
      <c r="E139" s="167" t="inlineStr">
        <is>
          <t>TBD</t>
        </is>
      </c>
      <c r="F139" s="189" t="n"/>
      <c r="G139" s="188" t="n"/>
      <c r="H139" s="169" t="n"/>
    </row>
    <row r="140" ht="20" customHeight="1" s="140">
      <c r="A140" s="145" t="inlineStr">
        <is>
          <t>Pitch pockets</t>
        </is>
      </c>
      <c r="B140" s="187" t="n"/>
      <c r="C140" s="169" t="inlineStr">
        <is>
          <t>ea</t>
        </is>
      </c>
      <c r="D140" s="263" t="n"/>
      <c r="E140" s="167" t="inlineStr">
        <is>
          <t>TBD</t>
        </is>
      </c>
      <c r="F140" s="189" t="n"/>
      <c r="G140" s="188" t="n"/>
      <c r="H140" s="169" t="n"/>
    </row>
    <row r="141" ht="20" customHeight="1" s="140">
      <c r="A141" s="145" t="inlineStr">
        <is>
          <t>Pourable sealer</t>
        </is>
      </c>
      <c r="B141" s="187" t="n"/>
      <c r="C141" s="169" t="inlineStr">
        <is>
          <t>kit</t>
        </is>
      </c>
      <c r="D141" s="263" t="n"/>
      <c r="E141" s="167" t="inlineStr">
        <is>
          <t>TBD</t>
        </is>
      </c>
      <c r="F141" s="189" t="n"/>
      <c r="G141" s="188" t="n"/>
      <c r="H141" s="169" t="n"/>
    </row>
    <row r="142" ht="32" customHeight="1" s="140">
      <c r="A142" s="441" t="inlineStr">
        <is>
          <t>"Counts land on the Takeoff page and read through to here — never typed twice."</t>
        </is>
      </c>
    </row>
    <row r="143" ht="8" customHeight="1" s="140">
      <c r="A143" s="348" t="n"/>
      <c r="B143" s="348" t="n"/>
      <c r="C143" s="348" t="n"/>
      <c r="D143" s="348" t="n"/>
      <c r="E143" s="348" t="n"/>
      <c r="F143" s="348" t="n"/>
      <c r="G143" s="348" t="n"/>
      <c r="H143" s="348" t="n"/>
      <c r="I143" s="348" t="n"/>
      <c r="J143" s="348" t="n"/>
      <c r="K143" s="348" t="n"/>
      <c r="L143" s="348" t="n"/>
      <c r="M143" s="348" t="n"/>
    </row>
    <row r="144" ht="32" customHeight="1" s="140">
      <c r="A144" s="436" t="inlineStr">
        <is>
          <t>7b · WALKPADS   —   a roll is 50 ft.  Partial rolls buy in quarters, because a roll is not a rounding error</t>
        </is>
      </c>
    </row>
    <row r="145" ht="32" customHeight="1" s="140">
      <c r="A145" s="441" t="inlineStr">
        <is>
          <t>"A roof hatch always needs walkpad. Plan LF + 10 ft per hatch = what you actually need. Then: up to a quarter of a roll buys a quarter, up to half buys a half, and anything past half buys the whole roll. 51 ft is 1.25 rolls, not 2 — the difference is $150 instead of $650."</t>
        </is>
      </c>
    </row>
    <row r="146" ht="20" customHeight="1" s="140">
      <c r="A146" s="165" t="inlineStr">
        <is>
          <t>Item</t>
        </is>
      </c>
      <c r="B146" s="165" t="inlineStr">
        <is>
          <t>Value</t>
        </is>
      </c>
      <c r="C146" s="165" t="inlineStr">
        <is>
          <t>Unit</t>
        </is>
      </c>
      <c r="D146" s="165" t="n"/>
      <c r="E146" s="165" t="inlineStr">
        <is>
          <t>What it means</t>
        </is>
      </c>
      <c r="F146" s="165" t="n"/>
      <c r="G146" s="165" t="inlineStr">
        <is>
          <t>Qty</t>
        </is>
      </c>
      <c r="H146" s="165" t="inlineStr">
        <is>
          <t>Pkg</t>
        </is>
      </c>
    </row>
    <row r="147" ht="20" customHeight="1" s="140">
      <c r="A147" s="145" t="inlineStr">
        <is>
          <t>Walkpad from the roof plan</t>
        </is>
      </c>
      <c r="B147" s="187">
        <f>IFERROR(Takeoff!B32,"")</f>
        <v/>
      </c>
      <c r="C147" s="169" t="inlineStr">
        <is>
          <t>LF</t>
        </is>
      </c>
      <c r="D147" s="263" t="n"/>
      <c r="E147" s="167" t="inlineStr">
        <is>
          <t>Takeoff B</t>
        </is>
      </c>
      <c r="F147" s="189" t="n"/>
      <c r="G147" s="188" t="n"/>
      <c r="H147" s="169" t="n"/>
    </row>
    <row r="148" ht="20" customHeight="1" s="140">
      <c r="A148" s="145" t="inlineStr">
        <is>
          <t>Hatches on this roof</t>
        </is>
      </c>
      <c r="B148" s="187">
        <f>IFERROR(Takeoff!B31,"")</f>
        <v/>
      </c>
      <c r="C148" s="169" t="inlineStr">
        <is>
          <t>ea</t>
        </is>
      </c>
      <c r="D148" s="263" t="n"/>
      <c r="E148" s="167" t="inlineStr">
        <is>
          <t>Takeoff B</t>
        </is>
      </c>
      <c r="F148" s="189" t="n"/>
      <c r="G148" s="188" t="n"/>
      <c r="H148" s="169" t="n"/>
    </row>
    <row r="149" ht="20" customHeight="1" s="140">
      <c r="A149" s="145" t="inlineStr">
        <is>
          <t>Walkpad per roof hatch</t>
        </is>
      </c>
      <c r="B149" s="187" t="n">
        <v>10</v>
      </c>
      <c r="C149" s="169" t="inlineStr">
        <is>
          <t>LF</t>
        </is>
      </c>
      <c r="D149" s="263" t="n"/>
      <c r="E149" s="167" t="inlineStr">
        <is>
          <t>added automatically for every hatch</t>
        </is>
      </c>
      <c r="F149" s="189" t="n"/>
      <c r="G149" s="188" t="n"/>
      <c r="H149" s="169" t="n"/>
    </row>
    <row r="150" ht="20" customHeight="1" s="140">
      <c r="A150" s="145" t="inlineStr">
        <is>
          <t>Roll length</t>
        </is>
      </c>
      <c r="B150" s="187" t="n">
        <v>50</v>
      </c>
      <c r="C150" s="169" t="inlineStr">
        <is>
          <t>LF</t>
        </is>
      </c>
      <c r="D150" s="263" t="n"/>
      <c r="E150" s="167" t="inlineStr">
        <is>
          <t>one full roll</t>
        </is>
      </c>
      <c r="F150" s="189" t="n"/>
      <c r="G150" s="188" t="n"/>
      <c r="H150" s="169" t="n"/>
    </row>
    <row r="151" ht="20" customHeight="1" s="140">
      <c r="A151" s="145" t="inlineStr">
        <is>
          <t>TOTAL walkpad needed</t>
        </is>
      </c>
      <c r="B151" s="187">
        <f>IFERROR(N(B147)+N(B148)*N(B149),"")</f>
        <v/>
      </c>
      <c r="C151" s="169" t="inlineStr">
        <is>
          <t>LF</t>
        </is>
      </c>
      <c r="D151" s="263" t="n"/>
      <c r="E151" s="167" t="inlineStr">
        <is>
          <t>plan LF + hatch allowance</t>
        </is>
      </c>
      <c r="F151" s="189" t="n"/>
      <c r="G151" s="188" t="n"/>
      <c r="H151" s="169" t="n"/>
    </row>
    <row r="152" ht="20" customHeight="1" s="140">
      <c r="A152" s="145" t="inlineStr">
        <is>
          <t>WALKPAD ROLLS</t>
        </is>
      </c>
      <c r="B152" s="187" t="n"/>
      <c r="C152" s="169" t="n"/>
      <c r="D152" s="263" t="n"/>
      <c r="E152" s="167" t="inlineStr">
        <is>
          <t>full rolls, then the partial rounded UP to a quarter / half / whole</t>
        </is>
      </c>
      <c r="F152" s="189">
        <f>IFERROR(IF(OR(B151="",N(B150)=0),"",B151/B150),"")</f>
        <v/>
      </c>
      <c r="G152" s="188">
        <f>IFERROR(IF(OR(B151="",B151=0),"",INT(B151/B150) + IF(MOD(B151,B150)=0,0,IF(MOD(B151,B150)/B150&lt;=0.25,0.25,IF(MOD(B151,B150)/B150&lt;=0.5,0.5,1)))),"")</f>
        <v/>
      </c>
      <c r="H152" s="169" t="inlineStr">
        <is>
          <t>roll</t>
        </is>
      </c>
    </row>
    <row r="153" ht="32" customHeight="1" s="140">
      <c r="A153" s="441">
        <f>"Need "&amp;TEXT(N(B151),"#,##0")&amp;" LF = "&amp;TEXT(N(B147),"#,##0")&amp;" from the plan + "&amp;TEXT(N(B148),"0")&amp;" hatch x "&amp;TEXT(N(B149),"0")&amp;" ft. That buys "&amp;TEXT(N(G152),"0.00")&amp;" roll(s) at "&amp;TEXT(N(B150),"0")&amp;" ft each."</f>
        <v/>
      </c>
    </row>
    <row r="154" ht="8" customHeight="1" s="140">
      <c r="A154" s="348" t="n"/>
      <c r="B154" s="348" t="n"/>
      <c r="C154" s="348" t="n"/>
      <c r="D154" s="348" t="n"/>
      <c r="E154" s="348" t="n"/>
      <c r="F154" s="348" t="n"/>
      <c r="G154" s="348" t="n"/>
      <c r="H154" s="348" t="n"/>
      <c r="I154" s="348" t="n"/>
      <c r="J154" s="348" t="n"/>
      <c r="K154" s="348" t="n"/>
      <c r="L154" s="348" t="n"/>
      <c r="M154" s="348" t="n"/>
    </row>
    <row r="155" ht="32" customHeight="1" s="140">
      <c r="A155" s="436" t="inlineStr">
        <is>
          <t>7c · ROOF HATCH ASSEMBLY   —   hatch, safety post and railing are three separate buys, not one placeholder</t>
        </is>
      </c>
    </row>
    <row r="156" ht="32" customHeight="1" s="140">
      <c r="A156" s="441" t="inlineStr">
        <is>
          <t>"Price here is BRAND and SIZE driven — a Bilco is not a Babcock-Davis, and 30x36 is not 48x48. A safety post is almost always required; a railing is not. Adam budgets this line deliberately high, because it is not a place worth getting caught short. Put the size on the Takeoff page and price each of the three lines on its own."</t>
        </is>
      </c>
    </row>
    <row r="157" ht="20" customHeight="1" s="140">
      <c r="A157" s="165" t="inlineStr">
        <is>
          <t>Item</t>
        </is>
      </c>
      <c r="B157" s="165" t="inlineStr">
        <is>
          <t>Driver</t>
        </is>
      </c>
      <c r="C157" s="165" t="inlineStr">
        <is>
          <t>Unit</t>
        </is>
      </c>
      <c r="D157" s="165" t="inlineStr">
        <is>
          <t>Per hatch</t>
        </is>
      </c>
      <c r="E157" s="165" t="inlineStr">
        <is>
          <t>What it means</t>
        </is>
      </c>
      <c r="F157" s="165" t="inlineStr">
        <is>
          <t>RAW</t>
        </is>
      </c>
      <c r="G157" s="165" t="inlineStr">
        <is>
          <t>Qty</t>
        </is>
      </c>
      <c r="H157" s="165" t="inlineStr">
        <is>
          <t>Pkg</t>
        </is>
      </c>
    </row>
    <row r="158" ht="20" customHeight="1" s="140">
      <c r="A158" s="145" t="inlineStr">
        <is>
          <t>Roof hatch</t>
        </is>
      </c>
      <c r="B158" s="187">
        <f>IFERROR(Takeoff!B31,"")</f>
        <v/>
      </c>
      <c r="C158" s="169" t="inlineStr">
        <is>
          <t>hatch</t>
        </is>
      </c>
      <c r="D158" s="263" t="n">
        <v>1</v>
      </c>
      <c r="E158" s="167" t="inlineStr">
        <is>
          <t>one hatch per opening</t>
        </is>
      </c>
      <c r="F158" s="189">
        <f>IFERROR(IF(OR(B158="",D158=""),"",B158*D158),"")</f>
        <v/>
      </c>
      <c r="G158" s="188">
        <f>IFERROR(IF(F158="","",ROUNDUP(F158,0)),"")</f>
        <v/>
      </c>
      <c r="H158" s="169" t="inlineStr">
        <is>
          <t>ea</t>
        </is>
      </c>
    </row>
    <row r="159" ht="20" customHeight="1" s="140">
      <c r="A159" s="145" t="inlineStr">
        <is>
          <t>Safety ladder-up post</t>
        </is>
      </c>
      <c r="B159" s="187">
        <f>IFERROR(Takeoff!B31,"")</f>
        <v/>
      </c>
      <c r="C159" s="169" t="inlineStr">
        <is>
          <t>hatch</t>
        </is>
      </c>
      <c r="D159" s="263" t="n">
        <v>1</v>
      </c>
      <c r="E159" s="167" t="inlineStr">
        <is>
          <t>almost always required — set to 0 if the spec does not call for it</t>
        </is>
      </c>
      <c r="F159" s="189">
        <f>IFERROR(IF(OR(B159="",D159=""),"",B159*D159),"")</f>
        <v/>
      </c>
      <c r="G159" s="188">
        <f>IFERROR(IF(F159="","",ROUNDUP(F159,0)),"")</f>
        <v/>
      </c>
      <c r="H159" s="169" t="inlineStr">
        <is>
          <t>ea</t>
        </is>
      </c>
    </row>
    <row r="160" ht="20" customHeight="1" s="140">
      <c r="A160" s="145" t="inlineStr">
        <is>
          <t>Railing / guardrail set</t>
        </is>
      </c>
      <c r="B160" s="187">
        <f>IFERROR(Takeoff!B31,"")</f>
        <v/>
      </c>
      <c r="C160" s="169" t="inlineStr">
        <is>
          <t>hatch</t>
        </is>
      </c>
      <c r="D160" s="263" t="n"/>
      <c r="E160" s="167" t="inlineStr">
        <is>
          <t>NOT always required — set to 1 per hatch when the spec calls for it</t>
        </is>
      </c>
      <c r="F160" s="189">
        <f>IFERROR(IF(OR(B160="",D160=""),"",B160*D160),"")</f>
        <v/>
      </c>
      <c r="G160" s="188">
        <f>IFERROR(IF(F160="","",ROUNDUP(F160,0)),"")</f>
        <v/>
      </c>
      <c r="H160" s="169" t="inlineStr">
        <is>
          <t>ea</t>
        </is>
      </c>
    </row>
    <row r="161" ht="32" customHeight="1" s="140">
      <c r="A161" s="441" t="inlineStr">
        <is>
          <t>"Three lines, three prices. If the GC changes the hatch size or the manufacturer, only the price cells move — the counts stay."</t>
        </is>
      </c>
    </row>
    <row r="162" ht="8" customHeight="1" s="140">
      <c r="A162" s="348" t="n"/>
      <c r="B162" s="348" t="n"/>
      <c r="C162" s="348" t="n"/>
      <c r="D162" s="348" t="n"/>
      <c r="E162" s="348" t="n"/>
      <c r="F162" s="348" t="n"/>
      <c r="G162" s="348" t="n"/>
      <c r="H162" s="348" t="n"/>
      <c r="I162" s="348" t="n"/>
      <c r="J162" s="348" t="n"/>
      <c r="K162" s="348" t="n"/>
      <c r="L162" s="348" t="n"/>
      <c r="M162" s="348" t="n"/>
    </row>
    <row r="163" ht="32" customHeight="1" s="140">
      <c r="A163" s="436" t="inlineStr">
        <is>
          <t>7d · WALL BLOCKING &amp; SHEATHING   —   2 x 8 nailer, 7/16" OSB, and ONE screw for both</t>
        </is>
      </c>
    </row>
    <row r="164" ht="32" customHeight="1" s="140">
      <c r="A164" s="441" t="inlineStr">
        <is>
          <t>"CONCRETE WALLS. A 2 x 8 nailer runs the whole perimeter and 7/16 in. OSB sheathes the wall face, so the membrane and the base flashing have wood to bite into instead of concrete.   THE NAILER SCREW AND THE OSB SCREW ARE THE SAME SCREW — a 3 in. #14 — so they are ONE number and ONE buy. Adding them up before rounding is what keeps a box and a half from turning into three. The 30% burn factor rides on the NAILER screws only, because those are the ones going into concrete."</t>
        </is>
      </c>
    </row>
    <row r="165" ht="20" customHeight="1" s="140">
      <c r="A165" s="165" t="inlineStr">
        <is>
          <t>Item</t>
        </is>
      </c>
      <c r="B165" s="165" t="inlineStr">
        <is>
          <t>Driver</t>
        </is>
      </c>
      <c r="C165" s="165" t="inlineStr">
        <is>
          <t>Unit</t>
        </is>
      </c>
      <c r="D165" s="165" t="inlineStr">
        <is>
          <t>Factor</t>
        </is>
      </c>
      <c r="E165" s="165" t="inlineStr">
        <is>
          <t>What the factor means</t>
        </is>
      </c>
      <c r="F165" s="165" t="inlineStr">
        <is>
          <t>RAW</t>
        </is>
      </c>
      <c r="G165" s="165" t="inlineStr">
        <is>
          <t>Qty</t>
        </is>
      </c>
      <c r="H165" s="165" t="inlineStr">
        <is>
          <t>Pkg</t>
        </is>
      </c>
    </row>
    <row r="166" ht="20" customHeight="1" s="140">
      <c r="A166" s="145" t="inlineStr">
        <is>
          <t>2 x 8 nailer</t>
        </is>
      </c>
      <c r="B166" s="187">
        <f>IFERROR(N(Takeoff!I46),"")</f>
        <v/>
      </c>
      <c r="C166" s="169" t="inlineStr">
        <is>
          <t>LF</t>
        </is>
      </c>
      <c r="D166" s="263" t="n">
        <v>1</v>
      </c>
      <c r="E166" s="167" t="inlineStr">
        <is>
          <t>the whole perimeter, one continuous nailer — off the wall facets marked IN PERIMETER</t>
        </is>
      </c>
      <c r="F166" s="189">
        <f>IFERROR(IF(OR(B166="",D166="",D166=0),"",B166/D166),"")</f>
        <v/>
      </c>
      <c r="G166" s="188">
        <f>IFERROR(IF(F166="","",ROUNDUP(F166,0)),"")</f>
        <v/>
      </c>
      <c r="H166" s="169" t="inlineStr">
        <is>
          <t>LF</t>
        </is>
      </c>
    </row>
    <row r="167" ht="20" customHeight="1" s="140">
      <c r="A167" s="145" t="inlineStr">
        <is>
          <t>7/16" OSB  —  wall face</t>
        </is>
      </c>
      <c r="B167" s="187">
        <f>IFERROR(N(Takeoff!H46),"")</f>
        <v/>
      </c>
      <c r="C167" s="169" t="inlineStr">
        <is>
          <t>wall sf</t>
        </is>
      </c>
      <c r="D167" s="263" t="n">
        <v>32</v>
      </c>
      <c r="E167" s="167" t="inlineStr">
        <is>
          <t>a 4 ft x 8 ft sheet covers 32 sf</t>
        </is>
      </c>
      <c r="F167" s="189">
        <f>IFERROR(IF(OR(B167="",D167="",D167=0),"",B167/D167),"")</f>
        <v/>
      </c>
      <c r="G167" s="188">
        <f>IFERROR(IF(F167="","",ROUNDUP(F167,0)),"")</f>
        <v/>
      </c>
      <c r="H167" s="169" t="inlineStr">
        <is>
          <t>sheet</t>
        </is>
      </c>
    </row>
    <row r="168" ht="20" customHeight="1" s="140">
      <c r="A168" s="165" t="inlineStr">
        <is>
          <t>Where the 3" #14 goes</t>
        </is>
      </c>
      <c r="B168" s="165" t="inlineStr">
        <is>
          <t>Count</t>
        </is>
      </c>
      <c r="C168" s="165" t="inlineStr">
        <is>
          <t>Unit</t>
        </is>
      </c>
      <c r="D168" s="165" t="inlineStr">
        <is>
          <t>Screws each</t>
        </is>
      </c>
      <c r="E168" s="165" t="inlineStr">
        <is>
          <t>What it is</t>
        </is>
      </c>
      <c r="F168" s="165" t="inlineStr">
        <is>
          <t>Screws</t>
        </is>
      </c>
      <c r="G168" s="165" t="n"/>
      <c r="H168" s="165" t="n"/>
    </row>
    <row r="169" ht="20" customHeight="1" s="140">
      <c r="A169" s="145" t="inlineStr">
        <is>
          <t xml:space="preserve">   nailer into the concrete</t>
        </is>
      </c>
      <c r="B169" s="187">
        <f>IFERROR(N(G166),"")</f>
        <v/>
      </c>
      <c r="C169" s="169" t="inlineStr">
        <is>
          <t>LF</t>
        </is>
      </c>
      <c r="D169" s="263" t="n">
        <v>1</v>
      </c>
      <c r="E169" s="167" t="inlineStr">
        <is>
          <t>one screw every foot, straight into the concrete wall</t>
        </is>
      </c>
      <c r="F169" s="466">
        <f>IFERROR(IF(OR(B169="",D169=""),0,B169*D169),"")</f>
        <v/>
      </c>
      <c r="G169" s="188" t="n"/>
      <c r="H169" s="169" t="n"/>
    </row>
    <row r="170" ht="20" customHeight="1" s="140">
      <c r="A170" s="145" t="inlineStr">
        <is>
          <t xml:space="preserve">   + 30% burn on the concrete screws</t>
        </is>
      </c>
      <c r="B170" s="187" t="n"/>
      <c r="C170" s="169" t="inlineStr">
        <is>
          <t>%</t>
        </is>
      </c>
      <c r="D170" s="263" t="n">
        <v>0.3</v>
      </c>
      <c r="E170" s="167" t="inlineStr">
        <is>
          <t>you burn screws drilling concrete — rides on the NAILER screws only, never on the OSB</t>
        </is>
      </c>
      <c r="F170" s="189">
        <f>IFERROR(N(F169)*N(D170),"")</f>
        <v/>
      </c>
      <c r="G170" s="188" t="n"/>
      <c r="H170" s="169" t="n"/>
    </row>
    <row r="171" ht="20" customHeight="1" s="140">
      <c r="A171" s="145" t="inlineStr">
        <is>
          <t xml:space="preserve">   OSB boards</t>
        </is>
      </c>
      <c r="B171" s="187">
        <f>IFERROR(N(G167),"")</f>
        <v/>
      </c>
      <c r="C171" s="169" t="inlineStr">
        <is>
          <t>board</t>
        </is>
      </c>
      <c r="D171" s="263" t="n">
        <v>16</v>
      </c>
      <c r="E171" s="167" t="inlineStr">
        <is>
          <t>16 fasteners a board</t>
        </is>
      </c>
      <c r="F171" s="466">
        <f>IFERROR(IF(OR(B171="",D171=""),0,B171*D171),"")</f>
        <v/>
      </c>
      <c r="G171" s="188" t="n"/>
      <c r="H171" s="169" t="n"/>
    </row>
    <row r="172" ht="20" customHeight="1" s="140">
      <c r="A172" s="145" t="inlineStr">
        <is>
          <t>FASTENERS  3" #14</t>
        </is>
      </c>
      <c r="B172" s="187" t="n"/>
      <c r="C172" s="169" t="inlineStr">
        <is>
          <t>screw</t>
        </is>
      </c>
      <c r="D172" s="263" t="n"/>
      <c r="E172" s="167" t="n">
        <v>1000</v>
      </c>
      <c r="F172" s="189">
        <f>IFERROR(N(F169)+N(F170)+N(F171),"")</f>
        <v/>
      </c>
      <c r="G172" s="188">
        <f>IFERROR(IF(OR(F172="",N(E172)=0),"",ROUNDUP(F172/E172,0)),"")</f>
        <v/>
      </c>
      <c r="H172" s="169" t="inlineStr">
        <is>
          <t>box</t>
        </is>
      </c>
    </row>
    <row r="173" ht="8" customHeight="1" s="140">
      <c r="A173" s="145" t="n"/>
      <c r="B173" s="187" t="n"/>
      <c r="C173" s="169" t="n"/>
      <c r="D173" s="263" t="n"/>
      <c r="E173" s="167" t="n"/>
      <c r="F173" s="189" t="n"/>
      <c r="G173" s="188" t="n"/>
      <c r="H173" s="169" t="n"/>
    </row>
    <row r="174" ht="32" customHeight="1" s="140">
      <c r="A174" s="441">
        <f>"Nailer "&amp;TEXT(N(F169),"#,##0")&amp;" + burn "&amp;TEXT(N(F170),"#,##0")&amp;" + OSB "&amp;TEXT(N(F171),"#,##0")&amp;"  =  "&amp;TEXT(N(F172),"#,##0")&amp;" screws, ONE buy, "&amp;TEXT(N(G172),"0")&amp;" box.   Rounded separately they would have been "&amp;TEXT(ROUNDUP((N(F169)+N(F170))/N(E172),0)+ROUNDUP(N(F171)/N(E172),0),"0")&amp;" box."</f>
        <v/>
      </c>
    </row>
    <row r="175" ht="8" customHeight="1" s="140"/>
    <row r="176" ht="22" customHeight="1" s="140">
      <c r="A176" s="143" t="inlineStr">
        <is>
          <t>8 · DELIVERY   —   on every bid, no exceptions</t>
        </is>
      </c>
    </row>
    <row r="177" ht="32" customHeight="1" s="140">
      <c r="A177" s="441" t="inlineStr">
        <is>
          <t>"EVERY BID CARRIES DELIVERY. Two of them, and they are counted differently.   MATERIAL: one delivery for every 50 squares.   METAL: one delivery is normally enough, because it all goes on one truck.   Out-of-town changes both: this job is in HOUSTON, so the metal takes 3 trips instead of 1 and the price per delivery goes up."</t>
        </is>
      </c>
    </row>
    <row r="178" ht="20" customHeight="1" s="140">
      <c r="A178" s="165" t="inlineStr">
        <is>
          <t>Item</t>
        </is>
      </c>
      <c r="B178" s="165" t="inlineStr">
        <is>
          <t>Driver</t>
        </is>
      </c>
      <c r="C178" s="165" t="inlineStr">
        <is>
          <t>Unit</t>
        </is>
      </c>
      <c r="D178" s="165" t="inlineStr">
        <is>
          <t>Factor</t>
        </is>
      </c>
      <c r="E178" s="165" t="inlineStr">
        <is>
          <t>What the factor means</t>
        </is>
      </c>
      <c r="F178" s="165" t="inlineStr">
        <is>
          <t>RAW</t>
        </is>
      </c>
      <c r="G178" s="165" t="inlineStr">
        <is>
          <t>Qty</t>
        </is>
      </c>
      <c r="H178" s="165" t="inlineStr">
        <is>
          <t>Pkg</t>
        </is>
      </c>
    </row>
    <row r="179" ht="20" customHeight="1" s="140">
      <c r="A179" s="145" t="inlineStr">
        <is>
          <t>Material delivery</t>
        </is>
      </c>
      <c r="B179" s="187">
        <f>IFERROR(N(G9),"")</f>
        <v/>
      </c>
      <c r="C179" s="169" t="inlineStr">
        <is>
          <t>sq</t>
        </is>
      </c>
      <c r="D179" s="263" t="n">
        <v>50</v>
      </c>
      <c r="E179" s="167" t="inlineStr">
        <is>
          <t>one delivery every 50 squares</t>
        </is>
      </c>
      <c r="F179" s="189">
        <f>IFERROR(IF(OR(B179="",D179="",D179=0),"",B179/D179),"")</f>
        <v/>
      </c>
      <c r="G179" s="188">
        <f>IFERROR(IF(F179="","",ROUNDUP(F179,0)),"")</f>
        <v/>
      </c>
      <c r="H179" s="169" t="inlineStr">
        <is>
          <t>delivery</t>
        </is>
      </c>
    </row>
    <row r="180" ht="20" customHeight="1" s="140">
      <c r="A180" s="145" t="inlineStr">
        <is>
          <t>Metal delivery</t>
        </is>
      </c>
      <c r="B180" s="187" t="n">
        <v>1</v>
      </c>
      <c r="C180" s="169" t="inlineStr">
        <is>
          <t>trips</t>
        </is>
      </c>
      <c r="D180" s="263" t="n">
        <v>1</v>
      </c>
      <c r="E180" s="167" t="inlineStr">
        <is>
          <t>NORMALLY 1 — it all fits on one truck. This job is in Houston, so 3.</t>
        </is>
      </c>
      <c r="F180" s="189">
        <f>IFERROR(N(B180),"")</f>
        <v/>
      </c>
      <c r="G180" s="188">
        <f>IFERROR(IF(F180="","",ROUNDUP(F180,0)),"")</f>
        <v/>
      </c>
      <c r="H180" s="169" t="inlineStr">
        <is>
          <t>delivery</t>
        </is>
      </c>
    </row>
    <row r="181" ht="32" customHeight="1" s="140">
      <c r="A181" s="441">
        <f>"Material "&amp;TEXT(N(G9),"0")&amp;" sq ÷ 50 = "&amp;TEXT(N(G179),"0")&amp;" deliveries.   Metal "&amp;TEXT(N(G180),"0")&amp;" deliveries.   Delivery is on every bid — never leave it off."</f>
        <v/>
      </c>
    </row>
  </sheetData>
  <mergeCells count="43">
    <mergeCell ref="A116:J116"/>
    <mergeCell ref="A176:H176"/>
    <mergeCell ref="A181:J181"/>
    <mergeCell ref="A17:J17"/>
    <mergeCell ref="A144:J144"/>
    <mergeCell ref="A20:J20"/>
    <mergeCell ref="A38:J38"/>
    <mergeCell ref="A1:H1"/>
    <mergeCell ref="A43:J43"/>
    <mergeCell ref="A156:J156"/>
    <mergeCell ref="A10:J10"/>
    <mergeCell ref="A161:J161"/>
    <mergeCell ref="A68:J68"/>
    <mergeCell ref="A63:J63"/>
    <mergeCell ref="A70:H70"/>
    <mergeCell ref="A44:J44"/>
    <mergeCell ref="A117:J117"/>
    <mergeCell ref="A155:J155"/>
    <mergeCell ref="A31:J31"/>
    <mergeCell ref="A92:J92"/>
    <mergeCell ref="A83:J83"/>
    <mergeCell ref="A128:H128"/>
    <mergeCell ref="A24:J24"/>
    <mergeCell ref="A64:J64"/>
    <mergeCell ref="A142:J142"/>
    <mergeCell ref="A12:H12"/>
    <mergeCell ref="A61:J61"/>
    <mergeCell ref="A153:J153"/>
    <mergeCell ref="A174:J174"/>
    <mergeCell ref="A32:H32"/>
    <mergeCell ref="A25:J25"/>
    <mergeCell ref="A177:J177"/>
    <mergeCell ref="A4:H4"/>
    <mergeCell ref="A164:J164"/>
    <mergeCell ref="A71:J71"/>
    <mergeCell ref="A145:J145"/>
    <mergeCell ref="A19:H19"/>
    <mergeCell ref="A163:J163"/>
    <mergeCell ref="A95:J95"/>
    <mergeCell ref="A26:J26"/>
    <mergeCell ref="A2:J2"/>
    <mergeCell ref="A93:H93"/>
    <mergeCell ref="A33:J33"/>
  </mergeCells>
  <dataValidations count="1">
    <dataValidation sqref="B72" showDropDown="0" showInputMessage="0" showErrorMessage="0" allowBlank="1" type="list" errorStyle="stop" operator="between">
      <formula1>Lists!$K$5:$K$44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T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39" min="1" max="2"/>
    <col width="28" customWidth="1" style="139" min="3" max="3"/>
    <col width="29" customWidth="1" style="139" min="4" max="4"/>
    <col width="27" customWidth="1" style="139" min="5" max="5"/>
    <col width="28" customWidth="1" style="139" min="6" max="7"/>
    <col width="29" customWidth="1" style="139" min="8" max="9"/>
    <col width="16" customWidth="1" style="139" min="10" max="10"/>
    <col width="22" customWidth="1" style="139" min="11" max="11"/>
    <col width="20" customWidth="1" style="139" min="12" max="12"/>
    <col width="18" customWidth="1" style="139" min="13" max="14"/>
    <col width="21" customWidth="1" style="139" min="15" max="15"/>
    <col width="22" customWidth="1" style="139" min="16" max="16"/>
    <col width="18" customWidth="1" style="139" min="17" max="17"/>
    <col width="20" customWidth="1" style="140" min="18" max="18"/>
    <col width="26" customWidth="1" style="140" min="19" max="19"/>
    <col width="26" customWidth="1" style="140" min="20" max="20"/>
  </cols>
  <sheetData>
    <row r="1" ht="32" customHeight="1" s="140">
      <c r="A1" s="434" t="inlineStr">
        <is>
          <t>SETUP LISTS  —  every dropdown on the Takeoff page reads its choices from the column under it</t>
        </is>
      </c>
    </row>
    <row r="2" ht="32" customHeight="1" s="140">
      <c r="A2" s="435" t="inlineStr">
        <is>
          <t>HOW TO ADD A CHOICE THAT STICKS FOREVER: type it in the first empty cell under the heading. It is in that dropdown from then on, on this job and on every new bid started from this template. Nothing else to do. To retire a choice, delete the cell.</t>
        </is>
      </c>
    </row>
    <row r="3" ht="8" customHeight="1" s="140">
      <c r="A3" s="348" t="n"/>
      <c r="B3" s="348" t="n"/>
      <c r="C3" s="348" t="n"/>
      <c r="D3" s="348" t="n"/>
      <c r="E3" s="348" t="n"/>
      <c r="F3" s="348" t="n"/>
      <c r="G3" s="348" t="n"/>
      <c r="H3" s="348" t="n"/>
      <c r="I3" s="348" t="n"/>
      <c r="J3" s="348" t="n"/>
      <c r="K3" s="348" t="n"/>
      <c r="L3" s="348" t="n"/>
      <c r="M3" s="348" t="n"/>
      <c r="S3" s="514" t="inlineStr">
        <is>
          <t>Wood deck material</t>
        </is>
      </c>
      <c r="T3" s="514" t="inlineStr">
        <is>
          <t>Steel deck profile</t>
        </is>
      </c>
    </row>
    <row r="4" ht="22" customHeight="1" s="140">
      <c r="A4" s="153" t="inlineStr">
        <is>
          <t>System</t>
        </is>
      </c>
      <c r="B4" s="153" t="inlineStr">
        <is>
          <t>Deck type</t>
        </is>
      </c>
      <c r="C4" s="153" t="inlineStr">
        <is>
          <t>Insulation thickness (in)</t>
        </is>
      </c>
      <c r="D4" s="153" t="inlineStr">
        <is>
          <t>Cover board thickness (in)</t>
        </is>
      </c>
      <c r="E4" s="153" t="inlineStr">
        <is>
          <t>Membrane thickness (mil)</t>
        </is>
      </c>
      <c r="F4" s="153" t="inlineStr">
        <is>
          <t>Field membrane sheet width (ft)</t>
        </is>
      </c>
      <c r="G4" s="153" t="inlineStr">
        <is>
          <t>ISO plates per board (ea)</t>
        </is>
      </c>
      <c r="H4" s="153" t="inlineStr">
        <is>
          <t>Wall fastener spacing (in)</t>
        </is>
      </c>
      <c r="I4" s="153" t="inlineStr">
        <is>
          <t>Base flashing spacing (in)</t>
        </is>
      </c>
      <c r="J4" s="153" t="inlineStr">
        <is>
          <t>Yes / No</t>
        </is>
      </c>
      <c r="K4" s="153" t="inlineStr">
        <is>
          <t>Field seam spacing (in)</t>
        </is>
      </c>
      <c r="L4" s="153" t="inlineStr">
        <is>
          <t>Construction type</t>
        </is>
      </c>
      <c r="M4" s="153" t="inlineStr">
        <is>
          <t>Decking</t>
        </is>
      </c>
      <c r="N4" s="153" t="inlineStr">
        <is>
          <t>Roof layer type</t>
        </is>
      </c>
      <c r="O4" s="153" t="inlineStr">
        <is>
          <t>How it is attached</t>
        </is>
      </c>
      <c r="P4" s="153" t="inlineStr">
        <is>
          <t>Insulation? (what board)</t>
        </is>
      </c>
      <c r="Q4" s="153" t="inlineStr">
        <is>
          <t>Gravel?</t>
        </is>
      </c>
      <c r="R4" s="308" t="inlineStr">
        <is>
          <t>Wall substrate</t>
        </is>
      </c>
    </row>
    <row r="5" ht="20" customHeight="1" s="140">
      <c r="A5" s="268" t="inlineStr">
        <is>
          <t>ISO MA / TPO MA</t>
        </is>
      </c>
      <c r="B5" s="268" t="inlineStr">
        <is>
          <t>METAL</t>
        </is>
      </c>
      <c r="C5" s="237" t="n"/>
      <c r="D5" s="237" t="n"/>
      <c r="E5" s="268" t="n">
        <v>60</v>
      </c>
      <c r="F5" s="268" t="n">
        <v>5</v>
      </c>
      <c r="G5" s="268" t="n">
        <v>5</v>
      </c>
      <c r="H5" s="268" t="n">
        <v>6</v>
      </c>
      <c r="I5" s="268" t="n">
        <v>6</v>
      </c>
      <c r="J5" s="268" t="inlineStr">
        <is>
          <t>Y</t>
        </is>
      </c>
      <c r="K5" s="268" t="n">
        <v>6</v>
      </c>
      <c r="L5" s="268" t="inlineStr">
        <is>
          <t>Tear off</t>
        </is>
      </c>
      <c r="M5" s="268" t="inlineStr">
        <is>
          <t>Lightweight concrete over steel</t>
        </is>
      </c>
      <c r="N5" s="268" t="inlineStr">
        <is>
          <t>Modified bitumen</t>
        </is>
      </c>
      <c r="O5" s="268" t="inlineStr">
        <is>
          <t>Mechanically attached</t>
        </is>
      </c>
      <c r="P5" s="268" t="inlineStr">
        <is>
          <t>Recover board</t>
        </is>
      </c>
      <c r="Q5" s="268" t="inlineStr">
        <is>
          <t>Y</t>
        </is>
      </c>
      <c r="R5" s="310" t="inlineStr">
        <is>
          <t>Concrete</t>
        </is>
      </c>
      <c r="S5" s="139" t="inlineStr">
        <is>
          <t>OSB</t>
        </is>
      </c>
      <c r="T5" s="139" t="inlineStr">
        <is>
          <t>R panel</t>
        </is>
      </c>
    </row>
    <row r="6" ht="20" customHeight="1" s="140">
      <c r="A6" s="237" t="n"/>
      <c r="B6" s="268" t="inlineStr">
        <is>
          <t>WOOD</t>
        </is>
      </c>
      <c r="C6" s="237" t="n"/>
      <c r="D6" s="237" t="n"/>
      <c r="E6" s="237" t="n"/>
      <c r="F6" s="268" t="n">
        <v>10</v>
      </c>
      <c r="G6" s="237" t="n"/>
      <c r="H6" s="268" t="n">
        <v>12</v>
      </c>
      <c r="I6" s="268" t="n">
        <v>12</v>
      </c>
      <c r="J6" s="268" t="inlineStr">
        <is>
          <t>N</t>
        </is>
      </c>
      <c r="K6" s="268" t="n">
        <v>12</v>
      </c>
      <c r="L6" s="268" t="inlineStr">
        <is>
          <t>Recover</t>
        </is>
      </c>
      <c r="M6" s="268" t="inlineStr">
        <is>
          <t>Steel</t>
        </is>
      </c>
      <c r="N6" s="268" t="inlineStr">
        <is>
          <t>BUR</t>
        </is>
      </c>
      <c r="O6" s="268" t="inlineStr">
        <is>
          <t>Fully adhered</t>
        </is>
      </c>
      <c r="P6" s="268" t="inlineStr">
        <is>
          <t>ISO</t>
        </is>
      </c>
      <c r="Q6" s="268" t="inlineStr">
        <is>
          <t>N</t>
        </is>
      </c>
      <c r="R6" s="310" t="inlineStr">
        <is>
          <t>Wood</t>
        </is>
      </c>
      <c r="S6" s="139" t="inlineStr">
        <is>
          <t>Planks</t>
        </is>
      </c>
      <c r="T6" s="139" t="inlineStr">
        <is>
          <t>B deck</t>
        </is>
      </c>
    </row>
    <row r="7" ht="20" customHeight="1" s="140">
      <c r="A7" s="237" t="n"/>
      <c r="B7" s="268" t="inlineStr">
        <is>
          <t>CONCRETE</t>
        </is>
      </c>
      <c r="C7" s="237" t="n"/>
      <c r="D7" s="237" t="n"/>
      <c r="E7" s="237" t="n"/>
      <c r="F7" s="237" t="n"/>
      <c r="G7" s="237" t="n"/>
      <c r="H7" s="237" t="n"/>
      <c r="I7" s="237" t="n"/>
      <c r="J7" s="237" t="n"/>
      <c r="K7" s="237" t="n"/>
      <c r="L7" s="268" t="inlineStr">
        <is>
          <t>Retrofit</t>
        </is>
      </c>
      <c r="M7" s="268" t="inlineStr">
        <is>
          <t>Wood</t>
        </is>
      </c>
      <c r="N7" s="268" t="inlineStr">
        <is>
          <t>TPO</t>
        </is>
      </c>
      <c r="O7" s="268" t="inlineStr">
        <is>
          <t>Mopped</t>
        </is>
      </c>
      <c r="P7" s="268" t="inlineStr">
        <is>
          <t>N/A</t>
        </is>
      </c>
      <c r="Q7" s="268" t="inlineStr">
        <is>
          <t>n/a</t>
        </is>
      </c>
      <c r="R7" s="310" t="inlineStr">
        <is>
          <t>Metal</t>
        </is>
      </c>
      <c r="S7" s="139" t="inlineStr">
        <is>
          <t>Plywood</t>
        </is>
      </c>
    </row>
    <row r="8" ht="20" customHeight="1" s="140">
      <c r="A8" s="237" t="n"/>
      <c r="B8" s="268" t="inlineStr">
        <is>
          <t>LWIC w/ metal pan</t>
        </is>
      </c>
      <c r="C8" s="237" t="n"/>
      <c r="D8" s="237" t="n"/>
      <c r="E8" s="237" t="n"/>
      <c r="F8" s="237" t="n"/>
      <c r="G8" s="237" t="n"/>
      <c r="H8" s="237" t="n"/>
      <c r="I8" s="237" t="n"/>
      <c r="J8" s="237" t="n"/>
      <c r="K8" s="237" t="n"/>
      <c r="L8" s="237" t="n"/>
      <c r="M8" s="268" t="inlineStr">
        <is>
          <t>Structural concrete</t>
        </is>
      </c>
      <c r="N8" s="268" t="inlineStr">
        <is>
          <t>PVC</t>
        </is>
      </c>
      <c r="O8" s="268" t="inlineStr">
        <is>
          <t>Torched</t>
        </is>
      </c>
      <c r="P8" s="237" t="n"/>
      <c r="Q8" s="237" t="n"/>
      <c r="R8" s="311" t="n"/>
    </row>
    <row r="9" ht="8" customHeight="1" s="140">
      <c r="A9" s="348" t="n"/>
      <c r="B9" s="348" t="n"/>
      <c r="C9" s="348" t="n"/>
      <c r="D9" s="348" t="n"/>
      <c r="E9" s="348" t="n"/>
      <c r="F9" s="348" t="n"/>
      <c r="G9" s="348" t="n"/>
      <c r="H9" s="348" t="n"/>
      <c r="I9" s="348" t="n"/>
      <c r="J9" s="348" t="n"/>
      <c r="K9" s="348" t="n"/>
      <c r="L9" s="348" t="n"/>
      <c r="M9" s="348" t="n"/>
      <c r="N9" s="268" t="inlineStr">
        <is>
          <t>Recover board + TPO</t>
        </is>
      </c>
      <c r="O9" s="268" t="inlineStr">
        <is>
          <t>Rhinobond</t>
        </is>
      </c>
      <c r="P9" s="237" t="n"/>
      <c r="Q9" s="237" t="n"/>
      <c r="R9" s="311" t="n"/>
    </row>
    <row r="10" ht="8" customHeight="1" s="140">
      <c r="A10" s="348" t="n"/>
      <c r="B10" s="348" t="n"/>
      <c r="C10" s="348" t="n"/>
      <c r="D10" s="348" t="n"/>
      <c r="E10" s="348" t="n"/>
      <c r="F10" s="348" t="n"/>
      <c r="G10" s="348" t="n"/>
      <c r="H10" s="348" t="n"/>
      <c r="I10" s="348" t="n"/>
      <c r="J10" s="348" t="n"/>
      <c r="K10" s="348" t="n"/>
      <c r="L10" s="348" t="n"/>
      <c r="M10" s="348" t="n"/>
      <c r="N10" s="268" t="inlineStr">
        <is>
          <t>Recover board + PVC</t>
        </is>
      </c>
      <c r="O10" s="268" t="inlineStr">
        <is>
          <t>Foamed</t>
        </is>
      </c>
      <c r="P10" s="237" t="n"/>
      <c r="Q10" s="237" t="n"/>
      <c r="R10" s="311" t="n"/>
    </row>
    <row r="11" ht="8" customHeight="1" s="140">
      <c r="A11" s="348" t="n"/>
      <c r="B11" s="348" t="n"/>
      <c r="C11" s="348" t="n"/>
      <c r="D11" s="348" t="n"/>
      <c r="E11" s="348" t="n"/>
      <c r="F11" s="348" t="n"/>
      <c r="G11" s="348" t="n"/>
      <c r="H11" s="348" t="n"/>
      <c r="I11" s="348" t="n"/>
      <c r="J11" s="348" t="n"/>
      <c r="K11" s="348" t="n"/>
      <c r="L11" s="348" t="n"/>
      <c r="M11" s="348" t="n"/>
      <c r="N11" s="268" t="inlineStr">
        <is>
          <t>N/A</t>
        </is>
      </c>
      <c r="O11" s="268" t="inlineStr">
        <is>
          <t>Loose laid / ballasted</t>
        </is>
      </c>
      <c r="P11" s="237" t="n"/>
      <c r="Q11" s="237" t="n"/>
      <c r="R11" s="311" t="n"/>
    </row>
    <row r="12" ht="8" customHeight="1" s="140">
      <c r="A12" s="348" t="n"/>
      <c r="B12" s="348" t="n"/>
      <c r="C12" s="348" t="n"/>
      <c r="D12" s="348" t="n"/>
      <c r="E12" s="348" t="n"/>
      <c r="F12" s="348" t="n"/>
      <c r="G12" s="348" t="n"/>
      <c r="H12" s="348" t="n"/>
      <c r="I12" s="348" t="n"/>
      <c r="J12" s="348" t="n"/>
      <c r="K12" s="348" t="n"/>
      <c r="L12" s="348" t="n"/>
      <c r="M12" s="348" t="n"/>
      <c r="N12" s="237" t="n"/>
      <c r="O12" s="268" t="inlineStr">
        <is>
          <t>N/A</t>
        </is>
      </c>
      <c r="P12" s="237" t="n"/>
      <c r="Q12" s="237" t="n"/>
      <c r="R12" s="311" t="n"/>
    </row>
    <row r="13" ht="8" customHeight="1" s="140">
      <c r="A13" s="348" t="n"/>
      <c r="B13" s="348" t="n"/>
      <c r="C13" s="348" t="n"/>
      <c r="D13" s="348" t="n"/>
      <c r="E13" s="348" t="n"/>
      <c r="F13" s="348" t="n"/>
      <c r="G13" s="348" t="n"/>
      <c r="H13" s="348" t="n"/>
      <c r="I13" s="348" t="n"/>
      <c r="J13" s="348" t="n"/>
      <c r="K13" s="348" t="n"/>
      <c r="L13" s="348" t="n"/>
      <c r="M13" s="348" t="n"/>
      <c r="N13" s="237" t="n"/>
      <c r="O13" s="237" t="n"/>
      <c r="P13" s="237" t="n"/>
      <c r="Q13" s="237" t="n"/>
      <c r="R13" s="311" t="n"/>
    </row>
    <row r="14" ht="8" customHeight="1" s="140">
      <c r="A14" s="348" t="n"/>
      <c r="B14" s="348" t="n"/>
      <c r="C14" s="348" t="n"/>
      <c r="D14" s="348" t="n"/>
      <c r="E14" s="348" t="n"/>
      <c r="F14" s="348" t="n"/>
      <c r="G14" s="348" t="n"/>
      <c r="H14" s="348" t="n"/>
      <c r="I14" s="348" t="n"/>
      <c r="J14" s="348" t="n"/>
      <c r="K14" s="348" t="n"/>
      <c r="L14" s="348" t="n"/>
      <c r="M14" s="348" t="n"/>
      <c r="N14" s="237" t="n"/>
      <c r="O14" s="237" t="n"/>
      <c r="P14" s="237" t="n"/>
      <c r="Q14" s="237" t="n"/>
      <c r="R14" s="311" t="n"/>
    </row>
    <row r="15" ht="8" customHeight="1" s="140">
      <c r="A15" s="348" t="n"/>
      <c r="B15" s="348" t="n"/>
      <c r="C15" s="348" t="n"/>
      <c r="D15" s="348" t="n"/>
      <c r="E15" s="348" t="n"/>
      <c r="F15" s="348" t="n"/>
      <c r="G15" s="348" t="n"/>
      <c r="H15" s="348" t="n"/>
      <c r="I15" s="348" t="n"/>
      <c r="J15" s="348" t="n"/>
      <c r="K15" s="348" t="n"/>
      <c r="L15" s="348" t="n"/>
      <c r="M15" s="348" t="n"/>
      <c r="N15" s="237" t="n"/>
      <c r="O15" s="237" t="n"/>
      <c r="P15" s="237" t="n"/>
      <c r="Q15" s="237" t="n"/>
      <c r="R15" s="311" t="n"/>
    </row>
    <row r="16" ht="8" customHeight="1" s="140">
      <c r="A16" s="348" t="n"/>
      <c r="B16" s="348" t="n"/>
      <c r="C16" s="348" t="n"/>
      <c r="D16" s="348" t="n"/>
      <c r="E16" s="348" t="n"/>
      <c r="F16" s="348" t="n"/>
      <c r="G16" s="348" t="n"/>
      <c r="H16" s="348" t="n"/>
      <c r="I16" s="348" t="n"/>
      <c r="J16" s="348" t="n"/>
      <c r="K16" s="348" t="n"/>
      <c r="L16" s="348" t="n"/>
      <c r="M16" s="348" t="n"/>
      <c r="N16" s="237" t="n"/>
      <c r="O16" s="237" t="n"/>
      <c r="P16" s="237" t="n"/>
      <c r="Q16" s="237" t="n"/>
      <c r="R16" s="311" t="n"/>
    </row>
    <row r="17" ht="8" customHeight="1" s="140">
      <c r="A17" s="348" t="n"/>
      <c r="B17" s="348" t="n"/>
      <c r="C17" s="348" t="n"/>
      <c r="D17" s="348" t="n"/>
      <c r="E17" s="348" t="n"/>
      <c r="F17" s="348" t="n"/>
      <c r="G17" s="348" t="n"/>
      <c r="H17" s="348" t="n"/>
      <c r="I17" s="348" t="n"/>
      <c r="J17" s="348" t="n"/>
      <c r="K17" s="348" t="n"/>
      <c r="L17" s="348" t="n"/>
      <c r="M17" s="348" t="n"/>
      <c r="N17" s="237" t="n"/>
      <c r="O17" s="237" t="n"/>
      <c r="P17" s="237" t="n"/>
      <c r="Q17" s="237" t="n"/>
      <c r="R17" s="311" t="n"/>
    </row>
    <row r="18" ht="8" customHeight="1" s="140">
      <c r="A18" s="348" t="n"/>
      <c r="B18" s="348" t="n"/>
      <c r="C18" s="348" t="n"/>
      <c r="D18" s="348" t="n"/>
      <c r="E18" s="348" t="n"/>
      <c r="F18" s="348" t="n"/>
      <c r="G18" s="348" t="n"/>
      <c r="H18" s="348" t="n"/>
      <c r="I18" s="348" t="n"/>
      <c r="J18" s="348" t="n"/>
      <c r="K18" s="348" t="n"/>
      <c r="L18" s="348" t="n"/>
      <c r="M18" s="348" t="n"/>
      <c r="N18" s="237" t="n"/>
      <c r="O18" s="237" t="n"/>
      <c r="P18" s="237" t="n"/>
      <c r="Q18" s="237" t="n"/>
      <c r="R18" s="311" t="n"/>
    </row>
    <row r="19" ht="8" customHeight="1" s="140">
      <c r="A19" s="348" t="n"/>
      <c r="B19" s="348" t="n"/>
      <c r="C19" s="348" t="n"/>
      <c r="D19" s="348" t="n"/>
      <c r="E19" s="348" t="n"/>
      <c r="F19" s="348" t="n"/>
      <c r="G19" s="348" t="n"/>
      <c r="H19" s="348" t="n"/>
      <c r="I19" s="348" t="n"/>
      <c r="J19" s="348" t="n"/>
      <c r="K19" s="348" t="n"/>
      <c r="L19" s="348" t="n"/>
      <c r="M19" s="348" t="n"/>
      <c r="N19" s="237" t="n"/>
      <c r="O19" s="237" t="n"/>
      <c r="P19" s="237" t="n"/>
      <c r="Q19" s="237" t="n"/>
      <c r="R19" s="311" t="n"/>
    </row>
    <row r="20" ht="8" customHeight="1" s="140">
      <c r="A20" s="348" t="n"/>
      <c r="B20" s="348" t="n"/>
      <c r="C20" s="348" t="n"/>
      <c r="D20" s="348" t="n"/>
      <c r="E20" s="348" t="n"/>
      <c r="F20" s="348" t="n"/>
      <c r="G20" s="348" t="n"/>
      <c r="H20" s="348" t="n"/>
      <c r="I20" s="348" t="n"/>
      <c r="J20" s="348" t="n"/>
      <c r="K20" s="348" t="n"/>
      <c r="L20" s="348" t="n"/>
      <c r="M20" s="348" t="n"/>
      <c r="N20" s="237" t="n"/>
      <c r="O20" s="237" t="n"/>
      <c r="P20" s="237" t="n"/>
      <c r="Q20" s="237" t="n"/>
      <c r="R20" s="311" t="n"/>
    </row>
    <row r="21" ht="8" customHeight="1" s="140">
      <c r="A21" s="348" t="n"/>
      <c r="B21" s="348" t="n"/>
      <c r="C21" s="348" t="n"/>
      <c r="D21" s="348" t="n"/>
      <c r="E21" s="348" t="n"/>
      <c r="F21" s="348" t="n"/>
      <c r="G21" s="348" t="n"/>
      <c r="H21" s="348" t="n"/>
      <c r="I21" s="348" t="n"/>
      <c r="J21" s="348" t="n"/>
      <c r="K21" s="348" t="n"/>
      <c r="L21" s="348" t="n"/>
      <c r="M21" s="348" t="n"/>
      <c r="N21" s="237" t="n"/>
      <c r="O21" s="237" t="n"/>
      <c r="P21" s="237" t="n"/>
      <c r="Q21" s="237" t="n"/>
      <c r="R21" s="311" t="n"/>
    </row>
    <row r="22" ht="8" customHeight="1" s="140">
      <c r="A22" s="348" t="n"/>
      <c r="B22" s="348" t="n"/>
      <c r="C22" s="348" t="n"/>
      <c r="D22" s="348" t="n"/>
      <c r="E22" s="348" t="n"/>
      <c r="F22" s="348" t="n"/>
      <c r="G22" s="348" t="n"/>
      <c r="H22" s="348" t="n"/>
      <c r="I22" s="348" t="n"/>
      <c r="J22" s="348" t="n"/>
      <c r="K22" s="348" t="n"/>
      <c r="L22" s="348" t="n"/>
      <c r="M22" s="348" t="n"/>
      <c r="N22" s="237" t="n"/>
      <c r="O22" s="237" t="n"/>
      <c r="P22" s="237" t="n"/>
      <c r="Q22" s="237" t="n"/>
      <c r="R22" s="311" t="n"/>
    </row>
    <row r="23" ht="8" customHeight="1" s="140">
      <c r="A23" s="348" t="n"/>
      <c r="B23" s="348" t="n"/>
      <c r="C23" s="348" t="n"/>
      <c r="D23" s="348" t="n"/>
      <c r="E23" s="348" t="n"/>
      <c r="F23" s="348" t="n"/>
      <c r="G23" s="348" t="n"/>
      <c r="H23" s="348" t="n"/>
      <c r="I23" s="348" t="n"/>
      <c r="J23" s="348" t="n"/>
      <c r="K23" s="348" t="n"/>
      <c r="L23" s="348" t="n"/>
      <c r="M23" s="348" t="n"/>
      <c r="N23" s="237" t="n"/>
      <c r="O23" s="237" t="n"/>
      <c r="P23" s="237" t="n"/>
      <c r="Q23" s="237" t="n"/>
      <c r="R23" s="311" t="n"/>
    </row>
    <row r="24" ht="8" customHeight="1" s="140">
      <c r="A24" s="348" t="n"/>
      <c r="B24" s="348" t="n"/>
      <c r="C24" s="348" t="n"/>
      <c r="D24" s="348" t="n"/>
      <c r="E24" s="348" t="n"/>
      <c r="F24" s="348" t="n"/>
      <c r="G24" s="348" t="n"/>
      <c r="H24" s="348" t="n"/>
      <c r="I24" s="348" t="n"/>
      <c r="J24" s="348" t="n"/>
      <c r="K24" s="348" t="n"/>
      <c r="L24" s="348" t="n"/>
      <c r="M24" s="348" t="n"/>
      <c r="N24" s="237" t="n"/>
      <c r="O24" s="237" t="n"/>
      <c r="P24" s="237" t="n"/>
      <c r="Q24" s="237" t="n"/>
      <c r="R24" s="311" t="n"/>
    </row>
    <row r="25" ht="8" customHeight="1" s="140">
      <c r="A25" s="348" t="n"/>
      <c r="B25" s="348" t="n"/>
      <c r="C25" s="348" t="n"/>
      <c r="D25" s="348" t="n"/>
      <c r="E25" s="348" t="n"/>
      <c r="F25" s="348" t="n"/>
      <c r="G25" s="348" t="n"/>
      <c r="H25" s="348" t="n"/>
      <c r="I25" s="348" t="n"/>
      <c r="J25" s="348" t="n"/>
      <c r="K25" s="348" t="n"/>
      <c r="L25" s="348" t="n"/>
      <c r="M25" s="348" t="n"/>
      <c r="N25" s="237" t="n"/>
      <c r="O25" s="237" t="n"/>
      <c r="P25" s="237" t="n"/>
      <c r="Q25" s="237" t="n"/>
      <c r="R25" s="311" t="n"/>
    </row>
    <row r="26" ht="8" customHeight="1" s="140">
      <c r="A26" s="348" t="n"/>
      <c r="B26" s="348" t="n"/>
      <c r="C26" s="348" t="n"/>
      <c r="D26" s="348" t="n"/>
      <c r="E26" s="348" t="n"/>
      <c r="F26" s="348" t="n"/>
      <c r="G26" s="348" t="n"/>
      <c r="H26" s="348" t="n"/>
      <c r="I26" s="348" t="n"/>
      <c r="J26" s="348" t="n"/>
      <c r="K26" s="348" t="n"/>
      <c r="L26" s="348" t="n"/>
      <c r="M26" s="348" t="n"/>
      <c r="N26" s="237" t="n"/>
      <c r="O26" s="237" t="n"/>
      <c r="P26" s="237" t="n"/>
      <c r="Q26" s="237" t="n"/>
      <c r="R26" s="311" t="n"/>
    </row>
    <row r="27" ht="8" customHeight="1" s="140">
      <c r="A27" s="348" t="n"/>
      <c r="B27" s="348" t="n"/>
      <c r="C27" s="348" t="n"/>
      <c r="D27" s="348" t="n"/>
      <c r="E27" s="348" t="n"/>
      <c r="F27" s="348" t="n"/>
      <c r="G27" s="348" t="n"/>
      <c r="H27" s="348" t="n"/>
      <c r="I27" s="348" t="n"/>
      <c r="J27" s="348" t="n"/>
      <c r="K27" s="348" t="n"/>
      <c r="L27" s="348" t="n"/>
      <c r="M27" s="348" t="n"/>
      <c r="N27" s="237" t="n"/>
      <c r="O27" s="237" t="n"/>
      <c r="P27" s="237" t="n"/>
      <c r="Q27" s="237" t="n"/>
      <c r="R27" s="311" t="n"/>
    </row>
    <row r="28" ht="8" customHeight="1" s="140">
      <c r="A28" s="348" t="n"/>
      <c r="B28" s="348" t="n"/>
      <c r="C28" s="348" t="n"/>
      <c r="D28" s="348" t="n"/>
      <c r="E28" s="348" t="n"/>
      <c r="F28" s="348" t="n"/>
      <c r="G28" s="348" t="n"/>
      <c r="H28" s="348" t="n"/>
      <c r="I28" s="348" t="n"/>
      <c r="J28" s="348" t="n"/>
      <c r="K28" s="348" t="n"/>
      <c r="L28" s="348" t="n"/>
      <c r="M28" s="348" t="n"/>
      <c r="N28" s="237" t="n"/>
      <c r="O28" s="237" t="n"/>
      <c r="P28" s="237" t="n"/>
      <c r="Q28" s="237" t="n"/>
      <c r="R28" s="311" t="n"/>
    </row>
    <row r="29" ht="8" customHeight="1" s="140">
      <c r="A29" s="348" t="n"/>
      <c r="B29" s="348" t="n"/>
      <c r="C29" s="348" t="n"/>
      <c r="D29" s="348" t="n"/>
      <c r="E29" s="348" t="n"/>
      <c r="F29" s="348" t="n"/>
      <c r="G29" s="348" t="n"/>
      <c r="H29" s="348" t="n"/>
      <c r="I29" s="348" t="n"/>
      <c r="J29" s="348" t="n"/>
      <c r="K29" s="348" t="n"/>
      <c r="L29" s="348" t="n"/>
      <c r="M29" s="348" t="n"/>
      <c r="N29" s="237" t="n"/>
      <c r="O29" s="237" t="n"/>
      <c r="P29" s="237" t="n"/>
      <c r="Q29" s="237" t="n"/>
      <c r="R29" s="311" t="n"/>
    </row>
    <row r="30" ht="8" customHeight="1" s="140">
      <c r="A30" s="348" t="n"/>
      <c r="B30" s="348" t="n"/>
      <c r="C30" s="348" t="n"/>
      <c r="D30" s="348" t="n"/>
      <c r="E30" s="348" t="n"/>
      <c r="F30" s="348" t="n"/>
      <c r="G30" s="348" t="n"/>
      <c r="H30" s="348" t="n"/>
      <c r="I30" s="348" t="n"/>
      <c r="J30" s="348" t="n"/>
      <c r="K30" s="348" t="n"/>
      <c r="L30" s="348" t="n"/>
      <c r="M30" s="348" t="n"/>
      <c r="N30" s="237" t="n"/>
      <c r="O30" s="237" t="n"/>
      <c r="P30" s="237" t="n"/>
      <c r="Q30" s="237" t="n"/>
      <c r="R30" s="311" t="n"/>
    </row>
    <row r="31" ht="8" customHeight="1" s="140">
      <c r="A31" s="348" t="n"/>
      <c r="B31" s="348" t="n"/>
      <c r="C31" s="348" t="n"/>
      <c r="D31" s="348" t="n"/>
      <c r="E31" s="348" t="n"/>
      <c r="F31" s="348" t="n"/>
      <c r="G31" s="348" t="n"/>
      <c r="H31" s="348" t="n"/>
      <c r="I31" s="348" t="n"/>
      <c r="J31" s="348" t="n"/>
      <c r="K31" s="348" t="n"/>
      <c r="L31" s="348" t="n"/>
      <c r="M31" s="348" t="n"/>
      <c r="N31" s="237" t="n"/>
      <c r="O31" s="237" t="n"/>
      <c r="P31" s="237" t="n"/>
      <c r="Q31" s="237" t="n"/>
      <c r="R31" s="311" t="n"/>
    </row>
    <row r="32" ht="8" customHeight="1" s="140">
      <c r="A32" s="348" t="n"/>
      <c r="B32" s="348" t="n"/>
      <c r="C32" s="348" t="n"/>
      <c r="D32" s="348" t="n"/>
      <c r="E32" s="348" t="n"/>
      <c r="F32" s="348" t="n"/>
      <c r="G32" s="348" t="n"/>
      <c r="H32" s="348" t="n"/>
      <c r="I32" s="348" t="n"/>
      <c r="J32" s="348" t="n"/>
      <c r="K32" s="348" t="n"/>
      <c r="L32" s="348" t="n"/>
      <c r="M32" s="348" t="n"/>
      <c r="N32" s="237" t="n"/>
      <c r="O32" s="237" t="n"/>
      <c r="P32" s="237" t="n"/>
      <c r="Q32" s="237" t="n"/>
      <c r="R32" s="311" t="n"/>
    </row>
    <row r="33" ht="8" customHeight="1" s="140">
      <c r="A33" s="348" t="n"/>
      <c r="B33" s="348" t="n"/>
      <c r="C33" s="348" t="n"/>
      <c r="D33" s="348" t="n"/>
      <c r="E33" s="348" t="n"/>
      <c r="F33" s="348" t="n"/>
      <c r="G33" s="348" t="n"/>
      <c r="H33" s="348" t="n"/>
      <c r="I33" s="348" t="n"/>
      <c r="J33" s="348" t="n"/>
      <c r="K33" s="348" t="n"/>
      <c r="L33" s="348" t="n"/>
      <c r="M33" s="348" t="n"/>
      <c r="N33" s="237" t="n"/>
      <c r="O33" s="237" t="n"/>
      <c r="P33" s="237" t="n"/>
      <c r="Q33" s="237" t="n"/>
      <c r="R33" s="311" t="n"/>
    </row>
    <row r="34" ht="8" customHeight="1" s="140">
      <c r="A34" s="348" t="n"/>
      <c r="B34" s="348" t="n"/>
      <c r="C34" s="348" t="n"/>
      <c r="D34" s="348" t="n"/>
      <c r="E34" s="348" t="n"/>
      <c r="F34" s="348" t="n"/>
      <c r="G34" s="348" t="n"/>
      <c r="H34" s="348" t="n"/>
      <c r="I34" s="348" t="n"/>
      <c r="J34" s="348" t="n"/>
      <c r="K34" s="348" t="n"/>
      <c r="L34" s="348" t="n"/>
      <c r="M34" s="348" t="n"/>
      <c r="N34" s="237" t="n"/>
      <c r="O34" s="237" t="n"/>
      <c r="P34" s="237" t="n"/>
      <c r="Q34" s="237" t="n"/>
      <c r="R34" s="311" t="n"/>
    </row>
    <row r="35" ht="8" customHeight="1" s="140">
      <c r="A35" s="348" t="n"/>
      <c r="B35" s="348" t="n"/>
      <c r="C35" s="348" t="n"/>
      <c r="D35" s="348" t="n"/>
      <c r="E35" s="348" t="n"/>
      <c r="F35" s="348" t="n"/>
      <c r="G35" s="348" t="n"/>
      <c r="H35" s="348" t="n"/>
      <c r="I35" s="348" t="n"/>
      <c r="J35" s="348" t="n"/>
      <c r="K35" s="348" t="n"/>
      <c r="L35" s="348" t="n"/>
      <c r="M35" s="348" t="n"/>
      <c r="N35" s="237" t="n"/>
      <c r="O35" s="237" t="n"/>
      <c r="P35" s="237" t="n"/>
      <c r="Q35" s="237" t="n"/>
      <c r="R35" s="311" t="n"/>
    </row>
    <row r="36" ht="8" customHeight="1" s="140">
      <c r="A36" s="348" t="n"/>
      <c r="B36" s="348" t="n"/>
      <c r="C36" s="348" t="n"/>
      <c r="D36" s="348" t="n"/>
      <c r="E36" s="348" t="n"/>
      <c r="F36" s="348" t="n"/>
      <c r="G36" s="348" t="n"/>
      <c r="H36" s="348" t="n"/>
      <c r="I36" s="348" t="n"/>
      <c r="J36" s="348" t="n"/>
      <c r="K36" s="348" t="n"/>
      <c r="L36" s="348" t="n"/>
      <c r="M36" s="348" t="n"/>
      <c r="N36" s="237" t="n"/>
      <c r="O36" s="237" t="n"/>
      <c r="P36" s="237" t="n"/>
      <c r="Q36" s="237" t="n"/>
      <c r="R36" s="311" t="n"/>
    </row>
    <row r="37" ht="8" customHeight="1" s="140">
      <c r="A37" s="348" t="n"/>
      <c r="B37" s="348" t="n"/>
      <c r="C37" s="348" t="n"/>
      <c r="D37" s="348" t="n"/>
      <c r="E37" s="348" t="n"/>
      <c r="F37" s="348" t="n"/>
      <c r="G37" s="348" t="n"/>
      <c r="H37" s="348" t="n"/>
      <c r="I37" s="348" t="n"/>
      <c r="J37" s="348" t="n"/>
      <c r="K37" s="348" t="n"/>
      <c r="L37" s="348" t="n"/>
      <c r="M37" s="348" t="n"/>
      <c r="N37" s="237" t="n"/>
      <c r="O37" s="237" t="n"/>
      <c r="P37" s="237" t="n"/>
      <c r="Q37" s="237" t="n"/>
      <c r="R37" s="311" t="n"/>
    </row>
    <row r="38" ht="8" customHeight="1" s="140">
      <c r="A38" s="348" t="n"/>
      <c r="B38" s="348" t="n"/>
      <c r="C38" s="348" t="n"/>
      <c r="D38" s="348" t="n"/>
      <c r="E38" s="348" t="n"/>
      <c r="F38" s="348" t="n"/>
      <c r="G38" s="348" t="n"/>
      <c r="H38" s="348" t="n"/>
      <c r="I38" s="348" t="n"/>
      <c r="J38" s="348" t="n"/>
      <c r="K38" s="348" t="n"/>
      <c r="L38" s="348" t="n"/>
      <c r="M38" s="348" t="n"/>
      <c r="N38" s="237" t="n"/>
      <c r="O38" s="237" t="n"/>
      <c r="P38" s="237" t="n"/>
      <c r="Q38" s="237" t="n"/>
      <c r="R38" s="311" t="n"/>
    </row>
    <row r="39" ht="8" customHeight="1" s="140">
      <c r="A39" s="348" t="n"/>
      <c r="B39" s="348" t="n"/>
      <c r="C39" s="348" t="n"/>
      <c r="D39" s="348" t="n"/>
      <c r="E39" s="348" t="n"/>
      <c r="F39" s="348" t="n"/>
      <c r="G39" s="348" t="n"/>
      <c r="H39" s="348" t="n"/>
      <c r="I39" s="348" t="n"/>
      <c r="J39" s="348" t="n"/>
      <c r="K39" s="348" t="n"/>
      <c r="L39" s="348" t="n"/>
      <c r="M39" s="348" t="n"/>
      <c r="N39" s="237" t="n"/>
      <c r="O39" s="237" t="n"/>
      <c r="P39" s="237" t="n"/>
      <c r="Q39" s="237" t="n"/>
      <c r="R39" s="311" t="n"/>
    </row>
    <row r="40" ht="8" customHeight="1" s="140">
      <c r="A40" s="348" t="n"/>
      <c r="B40" s="348" t="n"/>
      <c r="C40" s="348" t="n"/>
      <c r="D40" s="348" t="n"/>
      <c r="E40" s="348" t="n"/>
      <c r="F40" s="348" t="n"/>
      <c r="G40" s="348" t="n"/>
      <c r="H40" s="348" t="n"/>
      <c r="I40" s="348" t="n"/>
      <c r="J40" s="348" t="n"/>
      <c r="K40" s="348" t="n"/>
      <c r="L40" s="348" t="n"/>
      <c r="M40" s="348" t="n"/>
      <c r="N40" s="237" t="n"/>
      <c r="O40" s="237" t="n"/>
      <c r="P40" s="237" t="n"/>
      <c r="Q40" s="237" t="n"/>
      <c r="R40" s="311" t="n"/>
    </row>
    <row r="41" ht="8" customHeight="1" s="140">
      <c r="A41" s="348" t="n"/>
      <c r="B41" s="348" t="n"/>
      <c r="C41" s="348" t="n"/>
      <c r="D41" s="348" t="n"/>
      <c r="E41" s="348" t="n"/>
      <c r="F41" s="348" t="n"/>
      <c r="G41" s="348" t="n"/>
      <c r="H41" s="348" t="n"/>
      <c r="I41" s="348" t="n"/>
      <c r="J41" s="348" t="n"/>
      <c r="K41" s="348" t="n"/>
      <c r="L41" s="348" t="n"/>
      <c r="M41" s="348" t="n"/>
      <c r="N41" s="237" t="n"/>
      <c r="O41" s="237" t="n"/>
      <c r="P41" s="237" t="n"/>
      <c r="Q41" s="237" t="n"/>
      <c r="R41" s="311" t="n"/>
    </row>
    <row r="42" ht="8" customHeight="1" s="140">
      <c r="A42" s="348" t="n"/>
      <c r="B42" s="348" t="n"/>
      <c r="C42" s="348" t="n"/>
      <c r="D42" s="348" t="n"/>
      <c r="E42" s="348" t="n"/>
      <c r="F42" s="348" t="n"/>
      <c r="G42" s="348" t="n"/>
      <c r="H42" s="348" t="n"/>
      <c r="I42" s="348" t="n"/>
      <c r="J42" s="348" t="n"/>
      <c r="K42" s="348" t="n"/>
      <c r="L42" s="348" t="n"/>
      <c r="M42" s="348" t="n"/>
      <c r="N42" s="237" t="n"/>
      <c r="O42" s="237" t="n"/>
      <c r="P42" s="237" t="n"/>
      <c r="Q42" s="237" t="n"/>
      <c r="R42" s="311" t="n"/>
    </row>
    <row r="43" ht="8" customHeight="1" s="140">
      <c r="A43" s="348" t="n"/>
      <c r="B43" s="348" t="n"/>
      <c r="C43" s="348" t="n"/>
      <c r="D43" s="348" t="n"/>
      <c r="E43" s="348" t="n"/>
      <c r="F43" s="348" t="n"/>
      <c r="G43" s="348" t="n"/>
      <c r="H43" s="348" t="n"/>
      <c r="I43" s="348" t="n"/>
      <c r="J43" s="348" t="n"/>
      <c r="K43" s="348" t="n"/>
      <c r="L43" s="348" t="n"/>
      <c r="M43" s="348" t="n"/>
      <c r="N43" s="237" t="n"/>
      <c r="O43" s="237" t="n"/>
      <c r="P43" s="237" t="n"/>
      <c r="Q43" s="237" t="n"/>
      <c r="R43" s="311" t="n"/>
    </row>
    <row r="44" ht="8" customHeight="1" s="140">
      <c r="A44" s="348" t="n"/>
      <c r="B44" s="348" t="n"/>
      <c r="C44" s="348" t="n"/>
      <c r="D44" s="348" t="n"/>
      <c r="E44" s="348" t="n"/>
      <c r="F44" s="348" t="n"/>
      <c r="G44" s="348" t="n"/>
      <c r="H44" s="348" t="n"/>
      <c r="I44" s="348" t="n"/>
      <c r="J44" s="348" t="n"/>
      <c r="K44" s="348" t="n"/>
      <c r="L44" s="348" t="n"/>
      <c r="M44" s="348" t="n"/>
      <c r="N44" s="237" t="n"/>
      <c r="O44" s="237" t="n"/>
      <c r="P44" s="237" t="n"/>
      <c r="Q44" s="237" t="n"/>
      <c r="R44" s="311" t="n"/>
    </row>
  </sheetData>
  <mergeCells count="2">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2026-09-01T14:52:04Z</dcterms:created>
  <dcterms:modified xmlns:dcterms="http://purl.org/dc/terms/" xmlns:xsi="http://www.w3.org/2001/XMLSchema-instance" xsi:type="dcterms:W3CDTF">2026-09-11T04:57:50Z</dcterms:modified>
  <cp:revision>0</cp:revision>
</cp:coreProperties>
</file>