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ing 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&quot;($&quot;#,##0.00\);\-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0000CC"/>
    </font>
    <font>
      <b val="1"/>
      <color rgb="000000FF"/>
    </font>
    <font>
      <i val="1"/>
      <color rgb="00595959"/>
    </font>
    <font>
      <color rgb="00000000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3" fontId="3" fillId="4" borderId="0" pivotButton="0" quotePrefix="0" xfId="0"/>
    <xf numFmtId="1" fontId="3" fillId="4" borderId="0" pivotButton="0" quotePrefix="0" xfId="0"/>
    <xf numFmtId="0" fontId="4" fillId="0" borderId="0" pivotButton="0" quotePrefix="0" xfId="0"/>
    <xf numFmtId="164" fontId="3" fillId="4" borderId="0" pivotButton="0" quotePrefix="0" xfId="0"/>
    <xf numFmtId="0" fontId="3" fillId="0" borderId="0" pivotButton="0" quotePrefix="0" xfId="0"/>
    <xf numFmtId="1" fontId="3" fillId="0" borderId="0" pivotButton="0" quotePrefix="0" xfId="0"/>
    <xf numFmtId="10" fontId="3" fillId="0" borderId="0" pivotButton="0" quotePrefix="0" xfId="0"/>
    <xf numFmtId="9" fontId="3" fillId="4" borderId="0" pivotButton="0" quotePrefix="0" xfId="0"/>
    <xf numFmtId="164" fontId="3" fillId="0" borderId="0" pivotButton="0" quotePrefix="0" xfId="0"/>
    <xf numFmtId="9" fontId="3" fillId="0" borderId="0" pivotButton="0" quotePrefix="0" xfId="0"/>
    <xf numFmtId="164" fontId="5" fillId="0" borderId="0" pivotButton="0" quotePrefix="0" xfId="0"/>
    <xf numFmtId="1" fontId="5" fillId="0" borderId="0" pivotButton="0" quotePrefix="0" xfId="0"/>
    <xf numFmtId="0" fontId="7" fillId="5" borderId="0" pivotButton="0" quotePrefix="0" xfId="0"/>
    <xf numFmtId="164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90" customWidth="1" min="3" max="3"/>
  </cols>
  <sheetData>
    <row r="1">
      <c r="A1" s="1" t="inlineStr">
        <is>
          <t>COPING CAP  +  CLEAT  +  ICE &amp; WATER UNDER THE COPING</t>
        </is>
      </c>
      <c r="B1" s="2" t="n"/>
      <c r="C1" s="2" t="n"/>
    </row>
    <row r="2" ht="45" customHeight="1">
      <c r="A2" s="3" t="inlineStr">
        <is>
          <t>Standalone metal piece — runs beside any bid or on its own. COPING ALWAYS GETS A CLEAT, 100% of the time, and the cleat runs the same stretch-out as the coping. Ice &amp; water under the coping is a Y/N: 36″ x 66 ft roll, selvage edge cut off (33″), cut in half = 2 strips = 132 ft a roll. Pulled out of the Liberty Retail Center bid, 9/25/26.</t>
        </is>
      </c>
    </row>
    <row r="4">
      <c r="A4" s="1" t="inlineStr">
        <is>
          <t>INPUTS  —  blue cells, type here</t>
        </is>
      </c>
      <c r="B4" s="2" t="n"/>
      <c r="C4" s="2" t="n"/>
    </row>
    <row r="5">
      <c r="A5" t="inlineStr">
        <is>
          <t>Coping  —  LF</t>
        </is>
      </c>
      <c r="B5" s="4" t="n"/>
    </row>
    <row r="6">
      <c r="A6" t="inlineStr">
        <is>
          <t>Coping stretch-out (in)</t>
        </is>
      </c>
      <c r="B6" s="5" t="n"/>
      <c r="C6" s="6" t="inlineStr">
        <is>
          <t>asked fresh every job — the cleat uses the same</t>
        </is>
      </c>
    </row>
    <row r="7">
      <c r="A7" t="inlineStr">
        <is>
          <t>Coping metal  $ per sheet  (4x10)</t>
        </is>
      </c>
      <c r="B7" s="7" t="n"/>
      <c r="C7" s="6" t="inlineStr">
        <is>
          <t>e.g. 24 g Kynar</t>
        </is>
      </c>
    </row>
    <row r="8">
      <c r="A8" t="inlineStr">
        <is>
          <t>Cleat metal  $ per sheet  (4x10)</t>
        </is>
      </c>
      <c r="B8" s="7" t="n"/>
      <c r="C8" s="6" t="inlineStr">
        <is>
          <t>e.g. 20 g galv</t>
        </is>
      </c>
    </row>
    <row r="9">
      <c r="A9" t="inlineStr">
        <is>
          <t>Ice &amp; water under the coping?  (Y / N)</t>
        </is>
      </c>
      <c r="B9" s="8" t="inlineStr">
        <is>
          <t>Y</t>
        </is>
      </c>
    </row>
    <row r="10">
      <c r="A10" t="inlineStr">
        <is>
          <t>Ice &amp; water roll length (ft)</t>
        </is>
      </c>
      <c r="B10" s="9" t="n">
        <v>66</v>
      </c>
    </row>
    <row r="11">
      <c r="A11" t="inlineStr">
        <is>
          <t>Ice &amp; water usable width after the selvage (in)</t>
        </is>
      </c>
      <c r="B11" s="9" t="n">
        <v>33</v>
      </c>
      <c r="C11" s="6" t="inlineStr">
        <is>
          <t>36″ roll, selvage edge cut off</t>
        </is>
      </c>
    </row>
    <row r="12">
      <c r="A12" t="inlineStr">
        <is>
          <t>Strips per roll</t>
        </is>
      </c>
      <c r="B12" s="9" t="n">
        <v>2</v>
      </c>
      <c r="C12" s="6" t="inlineStr">
        <is>
          <t>cut the roll in half</t>
        </is>
      </c>
    </row>
    <row r="13">
      <c r="A13" t="inlineStr">
        <is>
          <t>Ice &amp; water  $ per roll</t>
        </is>
      </c>
      <c r="B13" s="7" t="n"/>
    </row>
    <row r="14">
      <c r="A14" t="inlineStr">
        <is>
          <t>Sales tax  (material only)</t>
        </is>
      </c>
      <c r="B14" s="10" t="n">
        <v>0.0825</v>
      </c>
    </row>
    <row r="15">
      <c r="A15" t="inlineStr">
        <is>
          <t>Material markup</t>
        </is>
      </c>
      <c r="B15" s="11" t="n"/>
      <c r="C15" s="6" t="inlineStr">
        <is>
          <t>same markup as the base bid — set per job</t>
        </is>
      </c>
    </row>
    <row r="16">
      <c r="A16" t="inlineStr">
        <is>
          <t>Shop fab  $ per sheet</t>
        </is>
      </c>
      <c r="B16" s="12" t="n">
        <v>40</v>
      </c>
      <c r="C16" s="6" t="inlineStr">
        <is>
          <t>every sheet of flat metal gets $40 a sheet fab — coping AND cleat</t>
        </is>
      </c>
    </row>
    <row r="17">
      <c r="A17" t="inlineStr">
        <is>
          <t>Wage per man / day</t>
        </is>
      </c>
      <c r="B17" s="12" t="n">
        <v>270</v>
      </c>
    </row>
    <row r="18">
      <c r="A18" t="inlineStr">
        <is>
          <t>Overhead margin</t>
        </is>
      </c>
      <c r="B18" s="13" t="n">
        <v>0.5</v>
      </c>
    </row>
    <row r="19">
      <c r="A19" t="inlineStr">
        <is>
          <t>COST PER MAN / DAY</t>
        </is>
      </c>
      <c r="B19" s="14">
        <f>IFERROR(IF(N(B18)=0,"",N(B17)/N(B18)),"")</f>
        <v/>
      </c>
    </row>
    <row r="20">
      <c r="A20" t="inlineStr">
        <is>
          <t>Coping crew  —  men</t>
        </is>
      </c>
      <c r="B20" s="5" t="n"/>
    </row>
    <row r="21">
      <c r="A21" t="inlineStr">
        <is>
          <t>Coping crew  —  feet per day</t>
        </is>
      </c>
      <c r="B21" s="4" t="n"/>
    </row>
    <row r="22">
      <c r="A22" t="inlineStr">
        <is>
          <t>Cleat crew  —  men</t>
        </is>
      </c>
      <c r="B22" s="5" t="n"/>
    </row>
    <row r="23">
      <c r="A23" t="inlineStr">
        <is>
          <t>Cleat crew  —  feet per day</t>
        </is>
      </c>
      <c r="B23" s="4" t="n"/>
    </row>
    <row r="25">
      <c r="A25" s="1" t="inlineStr">
        <is>
          <t>THE PRICE</t>
        </is>
      </c>
      <c r="B25" s="2" t="n"/>
      <c r="C25" s="2" t="n"/>
    </row>
    <row r="26">
      <c r="A26" t="inlineStr">
        <is>
          <t>Feet per sheet</t>
        </is>
      </c>
      <c r="B26" s="15">
        <f>IFERROR(IF(N(B6)=0,"",ROUNDDOWN(48/N(B6),0)*10),"")</f>
        <v/>
      </c>
      <c r="C26" s="6">
        <f>"48 ÷ "&amp;TEXT(N(B6),"0")&amp;" in. = "&amp;TEXT(IFERROR(ROUNDDOWN(48/N(B6),0),0),"0")&amp;" strips (round DOWN) x 10 ft"</f>
        <v/>
      </c>
    </row>
    <row r="27">
      <c r="A27" t="inlineStr">
        <is>
          <t>Coping sheets</t>
        </is>
      </c>
      <c r="B27" s="15">
        <f>IFERROR(IF(N(B26)=0,"",ROUNDUP(N(B5)/N(B26),0)),"")</f>
        <v/>
      </c>
      <c r="C27" s="6">
        <f>TEXT(N(B5),"#,##0")&amp;" ft ÷ "&amp;TEXT(N(B26),"0")&amp;" ft a sheet, rounded UP"</f>
        <v/>
      </c>
    </row>
    <row r="28">
      <c r="A28" t="inlineStr">
        <is>
          <t>Cleat sheets</t>
        </is>
      </c>
      <c r="B28" s="15">
        <f>IFERROR(IF(N(B26)=0,"",ROUNDUP(N(B5)/N(B26),0)),"")</f>
        <v/>
      </c>
      <c r="C28" s="6" t="inlineStr">
        <is>
          <t>same stretch-out as the coping — same count</t>
        </is>
      </c>
    </row>
    <row r="29">
      <c r="A29" t="inlineStr">
        <is>
          <t>Coping metal</t>
        </is>
      </c>
      <c r="B29" s="14">
        <f>IFERROR(N(B27)*N(B7),"")</f>
        <v/>
      </c>
    </row>
    <row r="30">
      <c r="A30" t="inlineStr">
        <is>
          <t>Cleat metal</t>
        </is>
      </c>
      <c r="B30" s="14">
        <f>IFERROR(N(B28)*N(B8),"")</f>
        <v/>
      </c>
    </row>
    <row r="31">
      <c r="A31" t="inlineStr">
        <is>
          <t>Ice &amp; water rolls</t>
        </is>
      </c>
      <c r="B31" s="15">
        <f>IFERROR(IF(UPPER(B9)&lt;&gt;"Y","",IF(N(B10)*N(B12)=0,"",ROUNDUP(N(B5)/(N(B10)*N(B12)),0))),"")</f>
        <v/>
      </c>
      <c r="C31" s="6">
        <f>IF(UPPER(B9)&lt;&gt;"Y","no ice &amp; water on this job",TEXT(N(B5),"#,##0")&amp;" ft ÷ ("&amp;TEXT(N(B10),"0")&amp;" ft roll x "&amp;TEXT(N(B12),"0")&amp;" strips = "&amp;TEXT(N(B10)*N(B12),"0")&amp;" ft a roll), rounded UP.   "&amp;TEXT(N(B11),"0")&amp;" in. ÷ "&amp;TEXT(N(B12),"0")&amp;" = "&amp;TEXT(IFERROR(N(B11)/N(B12),0),"0.0")&amp;" in. strips")</f>
        <v/>
      </c>
    </row>
    <row r="32">
      <c r="A32" t="inlineStr">
        <is>
          <t>Ice &amp; water</t>
        </is>
      </c>
      <c r="B32" s="14">
        <f>IFERROR(N(B31)*N(B13),"")</f>
        <v/>
      </c>
    </row>
    <row r="33">
      <c r="A33" t="inlineStr">
        <is>
          <t>Sales tax (material only)</t>
        </is>
      </c>
      <c r="B33" s="14">
        <f>IFERROR((N(B29)+N(B30)+N(B32))*N(B14),"")</f>
        <v/>
      </c>
    </row>
    <row r="34">
      <c r="A34" t="inlineStr">
        <is>
          <t>Markup on the material</t>
        </is>
      </c>
      <c r="B34" s="14">
        <f>IFERROR((N(B29)+N(B30)+N(B32)+N(B33))*N(B15),"")</f>
        <v/>
      </c>
    </row>
    <row r="35">
      <c r="A35" t="inlineStr">
        <is>
          <t>Shop fab</t>
        </is>
      </c>
      <c r="B35" s="14">
        <f>IFERROR((N(B27)+N(B28))*N(B16),"")</f>
        <v/>
      </c>
      <c r="C35" s="6">
        <f>"("&amp;TEXT(N(B27),"0")&amp;" coping + "&amp;TEXT(N(B28),"0")&amp;" cleat sheets) x "&amp;TEXT(N(B16),"$#,##0")</f>
        <v/>
      </c>
    </row>
    <row r="36">
      <c r="A36" t="inlineStr">
        <is>
          <t>Coping labor</t>
        </is>
      </c>
      <c r="B36" s="14">
        <f>IFERROR(IF(N(B21)=0,"",N(B20)*N(B19)*N(B5)/N(B21)),"")</f>
        <v/>
      </c>
      <c r="C36" s="6">
        <f>TEXT(N(B20),"0")&amp;" men x "&amp;TEXT(N(B19),"$#,##0")&amp;" x ("&amp;TEXT(N(B5),"#,##0")&amp;" ft ÷ "&amp;TEXT(N(B21),"#,##0")&amp;" = "&amp;TEXT(IFERROR(N(B5)/N(B21),0),"0.0")&amp;" days)"</f>
        <v/>
      </c>
    </row>
    <row r="37">
      <c r="A37" t="inlineStr">
        <is>
          <t>Cleat labor</t>
        </is>
      </c>
      <c r="B37" s="14">
        <f>IFERROR(IF(N(B23)=0,"",N(B22)*N(B19)*N(B5)/N(B23)),"")</f>
        <v/>
      </c>
      <c r="C37" s="6">
        <f>TEXT(N(B22),"0")&amp;" men x "&amp;TEXT(N(B19),"$#,##0")&amp;" x ("&amp;TEXT(N(B5),"#,##0")&amp;" ft ÷ "&amp;TEXT(N(B23),"#,##0")&amp;" = "&amp;TEXT(IFERROR(N(B5)/N(B23),0),"0.0")&amp;" days)"</f>
        <v/>
      </c>
    </row>
    <row r="38">
      <c r="A38" s="16" t="inlineStr">
        <is>
          <t>COPING CAP + CLEAT + ICE &amp; WATER  —  TOTAL</t>
        </is>
      </c>
      <c r="B38" s="17">
        <f>IFERROR(N(B29)+N(B30)+N(B32)+N(B33)+N(B34)+N(B35)+N(B36)+N(B37),"")</f>
        <v/>
      </c>
    </row>
    <row r="39">
      <c r="A39" t="inlineStr">
        <is>
          <t>Per LF</t>
        </is>
      </c>
      <c r="B39" s="14">
        <f>IFERROR(IF(N(B5)=0,"",N(B38)/N(B5)),"")</f>
        <v/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2026-09-26T01:41:02Z</dcterms:created>
  <dcterms:modified xmlns:dcterms="http://purl.org/dc/terms/" xmlns:xsi="http://www.w3.org/2001/XMLSchema-instance" xsi:type="dcterms:W3CDTF">2026-09-26T01:41:02Z</dcterms:modified>
</cp:coreProperties>
</file>