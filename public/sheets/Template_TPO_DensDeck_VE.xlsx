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Deck 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&quot;($&quot;#,##0.00\);\-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FFFFFFFF"/>
    </font>
    <font>
      <color rgb="FF0000CC"/>
    </font>
    <font>
      <color rgb="FF000000"/>
    </font>
    <font>
      <color rgb="FF0000FF"/>
    </font>
    <font>
      <b val="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00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4" fillId="4" borderId="0" pivotButton="0" quotePrefix="0" xfId="0"/>
    <xf numFmtId="164" fontId="4" fillId="4" borderId="0" pivotButton="0" quotePrefix="0" xfId="0"/>
    <xf numFmtId="164" fontId="4" fillId="0" borderId="0" pivotButton="0" quotePrefix="0" xfId="0"/>
    <xf numFmtId="9" fontId="4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5" fillId="5" borderId="0" pivotButton="0" quotePrefix="0" xfId="0"/>
    <xf numFmtId="16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15" customHeight="1">
      <c r="A1" s="1" t="inlineStr">
        <is>
          <t>VALUE ENGINEERING ADD-ON  —  1/4" DENSDECK</t>
        </is>
      </c>
      <c r="B1" s="2" t="n"/>
    </row>
    <row r="2" ht="15" customHeight="1">
      <c r="A2" s="3" t="inlineStr">
        <is>
          <t>Runs beside any TPO bid. The base bid is unchanged; this sheet prices the option only. Field squares only — not under the kickers.</t>
        </is>
      </c>
      <c r="B2" s="4" t="n"/>
    </row>
    <row r="3" ht="15" customHeight="1"/>
    <row r="4" ht="15" customHeight="1">
      <c r="A4" s="1" t="inlineStr">
        <is>
          <t>INPUTS  —  blue cells, type here</t>
        </is>
      </c>
      <c r="B4" s="2" t="n"/>
    </row>
    <row r="5" ht="15" customHeight="1">
      <c r="A5" s="5" t="inlineStr">
        <is>
          <t>Field squares</t>
        </is>
      </c>
      <c r="B5" s="6" t="n"/>
    </row>
    <row r="6" ht="15" customHeight="1">
      <c r="A6" s="5" t="inlineStr">
        <is>
          <t>DensDeck  $ per square</t>
        </is>
      </c>
      <c r="B6" s="7" t="n"/>
    </row>
    <row r="7" ht="15" customHeight="1">
      <c r="A7" s="5" t="inlineStr">
        <is>
          <t>Wage per man / day</t>
        </is>
      </c>
      <c r="B7" s="8" t="n">
        <v>270</v>
      </c>
    </row>
    <row r="8" ht="15" customHeight="1">
      <c r="A8" s="5" t="inlineStr">
        <is>
          <t>Overhead margin</t>
        </is>
      </c>
      <c r="B8" s="9" t="n">
        <v>0.5</v>
      </c>
    </row>
    <row r="9" ht="15" customHeight="1">
      <c r="A9" s="5" t="inlineStr">
        <is>
          <t>COST PER MAN / DAY</t>
        </is>
      </c>
      <c r="B9" s="10">
        <f>IFERROR(IF(N(B8)=0,"",N(B7)/N(B8)),"")</f>
        <v/>
      </c>
    </row>
    <row r="10" ht="15" customHeight="1">
      <c r="A10" s="3">
        <f>"Overhead is a margin, so it DIVIDES:  "&amp;TEXT(N(B7),"$#,##0")&amp;" ÷ "&amp;TEXT(N(B8),"0%")&amp;" = "&amp;TEXT(N(B9),"$#,##0")&amp;" per man per day"</f>
        <v/>
      </c>
      <c r="B10" s="4" t="n"/>
    </row>
    <row r="11" ht="15" customHeight="1">
      <c r="A11" s="5" t="inlineStr">
        <is>
          <t>DensDeck crew — men</t>
        </is>
      </c>
      <c r="B11" s="6" t="n"/>
    </row>
    <row r="12" ht="15" customHeight="1">
      <c r="A12" s="5" t="inlineStr">
        <is>
          <t>DensDeck crew — squares/day</t>
        </is>
      </c>
      <c r="B12" s="6" t="n"/>
    </row>
    <row r="13" ht="15" customHeight="1"/>
    <row r="14" ht="15" customHeight="1">
      <c r="A14" s="1" t="inlineStr">
        <is>
          <t>THE OPTION</t>
        </is>
      </c>
      <c r="B14" s="2" t="n"/>
    </row>
    <row r="15" ht="15" customHeight="1">
      <c r="A15" s="5" t="inlineStr">
        <is>
          <t>DensDeck material</t>
        </is>
      </c>
      <c r="B15" s="10">
        <f>IFERROR(N(B5)*N(B6),"")</f>
        <v/>
      </c>
    </row>
    <row r="16" ht="15" customHeight="1">
      <c r="A16" s="5" t="inlineStr">
        <is>
          <t>Days</t>
        </is>
      </c>
      <c r="B16" s="11">
        <f>IFERROR(IF(N(B12)=0,"",N(B5)/N(B12)),"")</f>
        <v/>
      </c>
    </row>
    <row r="17" ht="15" customHeight="1">
      <c r="A17" s="5" t="inlineStr">
        <is>
          <t>Crew $ / day</t>
        </is>
      </c>
      <c r="B17" s="10">
        <f>IFERROR(N(B11)*N(B9),"")</f>
        <v/>
      </c>
    </row>
    <row r="18" ht="15" customHeight="1">
      <c r="A18" s="5" t="inlineStr">
        <is>
          <t>DensDeck labor</t>
        </is>
      </c>
      <c r="B18" s="10">
        <f>IFERROR(IF(OR(B16="",N(B17)=0),"",N(B16)*N(B17)),"")</f>
        <v/>
      </c>
    </row>
    <row r="19" ht="15" customHeight="1">
      <c r="A19" s="12" t="inlineStr">
        <is>
          <t>VE OPTION — ADD  (material + labor)</t>
        </is>
      </c>
      <c r="B19" s="13">
        <f>IFERROR(N(B15)+N(B18),"")</f>
        <v/>
      </c>
    </row>
    <row r="20" ht="15" customHeight="1">
      <c r="A20" s="5" t="inlineStr">
        <is>
          <t>Add per square</t>
        </is>
      </c>
      <c r="B20" s="10">
        <f>IFERROR(IF(N(B5)=0,"",N(B19)/N(B5)),"")</f>
        <v/>
      </c>
    </row>
    <row r="21" ht="15" customHeight="1">
      <c r="A21" s="3">
        <f>"Material: "&amp;TEXT(N(B5),"#,##0")&amp;" sq × "&amp;TEXT(N(B6),"$#,##0.00")&amp;" = "&amp;TEXT(N(B15),"$#,##0")&amp;"   ·   Labor: "&amp;TEXT(N(B5),"#,##0")&amp;" sq ÷ "&amp;TEXT(N(B12),"#,##0")&amp;" sq/day = "&amp;TEXT(N(B16),"0.0")&amp;" days × "&amp;TEXT(N(B17),"$#,##0")&amp;"/day = "&amp;TEXT(N(B18),"$#,##0")</f>
        <v/>
      </c>
      <c r="B21" s="4" t="n"/>
    </row>
    <row r="22" ht="15" customHeight="1"/>
    <row r="23" ht="15" customHeight="1">
      <c r="A23" s="3" t="inlineStr">
        <is>
          <t>Send it as:  "Add 1/4" DensDeck cover board over the field — ADD $______"  (copy the VE OPTION number). Nothing on the base bid moves.</t>
        </is>
      </c>
      <c r="B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2026-09-13T04:17:16Z</dcterms:created>
  <dcterms:modified xmlns:dcterms="http://purl.org/dc/terms/" xmlns:xsi="http://www.w3.org/2001/XMLSchema-instance" xsi:type="dcterms:W3CDTF">2026-09-13T04:17:16Z</dcterms:modified>
</cp:coreProperties>
</file>