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ail Base TEMPLAT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\$#,##0.00&quot;/sq&quot;"/>
  </numFmts>
  <fonts count="11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155CC"/>
      <sz val="9"/>
    </font>
    <font>
      <name val="Arial"/>
      <charset val="1"/>
      <family val="0"/>
      <sz val="10"/>
    </font>
    <font>
      <name val="Arial"/>
      <charset val="1"/>
      <family val="0"/>
      <color rgb="FFCC000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6EFCE"/>
      </patternFill>
    </fill>
    <fill>
      <patternFill patternType="solid">
        <fgColor rgb="FFFFE599"/>
        <bgColor rgb="FFFFFF99"/>
      </patternFill>
    </fill>
    <fill>
      <patternFill patternType="solid">
        <fgColor rgb="FFC6EFCE"/>
        <bgColor rgb="FFD9E2F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4" fontId="6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10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164" fontId="6" fillId="5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2" min="1" max="1"/>
    <col width="10" customWidth="1" style="22" min="2" max="2"/>
    <col width="12" customWidth="1" style="22" min="3" max="3"/>
    <col width="10" customWidth="1" style="22" min="4" max="4"/>
    <col width="12" customWidth="1" style="22" min="5" max="5"/>
    <col width="8" customWidth="1" style="22" min="6" max="6"/>
    <col width="13" customWidth="1" style="22" min="7" max="7"/>
  </cols>
  <sheetData>
    <row r="1" ht="15" customHeight="1" s="23">
      <c r="A1" s="24" t="inlineStr">
        <is>
          <t>SMS ROOFING  —  NAIL BASE TEMPLATE  •  BLANK — TYPE THE TWO BLUE INPUTS</t>
        </is>
      </c>
    </row>
    <row r="2" ht="15" customHeight="1" s="23">
      <c r="A2" s="25" t="inlineStr">
        <is>
          <t>Spec: one layer 2×4 + 1½″ ISO + 5⁄8″ OSB. Blue = input (field squares + perimeter LF), everything else follows.</t>
        </is>
      </c>
    </row>
    <row r="3">
      <c r="A3" t="inlineStr">
        <is>
          <t>Field squares (the roof field)</t>
        </is>
      </c>
      <c r="B3" s="26" t="n">
        <v>0</v>
      </c>
      <c r="C3" t="inlineStr">
        <is>
          <t>sq</t>
        </is>
      </c>
    </row>
    <row r="4" ht="15" customHeight="1" s="23">
      <c r="A4" s="24" t="inlineStr">
        <is>
          <t>TAKEOFF</t>
        </is>
      </c>
    </row>
    <row r="5" ht="15" customHeight="1" s="23">
      <c r="A5" s="24" t="inlineStr">
        <is>
          <t>Item</t>
        </is>
      </c>
      <c r="B5" s="24" t="inlineStr">
        <is>
          <t>Qty</t>
        </is>
      </c>
      <c r="C5" s="24" t="inlineStr">
        <is>
          <t>Unit</t>
        </is>
      </c>
      <c r="D5" s="24" t="n"/>
      <c r="E5" s="24" t="inlineStr">
        <is>
          <t>Raw</t>
        </is>
      </c>
      <c r="F5" s="24" t="inlineStr">
        <is>
          <t>Units</t>
        </is>
      </c>
    </row>
    <row r="6" ht="15" customHeight="1" s="23">
      <c r="A6" s="27" t="inlineStr">
        <is>
          <t>2×4  (eave + rake + rake wall + head wall — type the LF)</t>
        </is>
      </c>
      <c r="B6" s="28" t="n">
        <v>0</v>
      </c>
      <c r="C6" s="27" t="inlineStr">
        <is>
          <t>LF</t>
        </is>
      </c>
      <c r="E6" s="29">
        <f>B6/10</f>
        <v/>
      </c>
      <c r="F6" s="30">
        <f>ROUNDUP(E6,0)</f>
        <v/>
      </c>
    </row>
    <row r="7" ht="25.5" customHeight="1" s="23">
      <c r="A7" s="31">
        <f>"2×4: "&amp;TEXT(B6,"#,##0")&amp;" LF ÷ 10′ sticks = "&amp;TEXT(E6,"0.00")&amp;" → "&amp;F6&amp;" sticks."</f>
        <v/>
      </c>
    </row>
    <row r="8" ht="15" customHeight="1" s="23">
      <c r="A8" s="27" t="inlineStr">
        <is>
          <t>ISO 1½″ boards</t>
        </is>
      </c>
      <c r="B8" s="30">
        <f>B3*3</f>
        <v/>
      </c>
      <c r="C8" s="27" t="inlineStr">
        <is>
          <t>board</t>
        </is>
      </c>
      <c r="F8" s="30">
        <f>B8</f>
        <v/>
      </c>
    </row>
    <row r="9" ht="15" customHeight="1" s="23">
      <c r="A9" s="25">
        <f>"ISO: field "&amp;TEXT(B3,"0")&amp;" sq × 3 = "&amp;TEXT(B8,"0")&amp;" boards — nothing else."</f>
        <v/>
      </c>
    </row>
    <row r="10" ht="15" customHeight="1" s="23">
      <c r="A10" s="27" t="inlineStr">
        <is>
          <t>ISO plates  (4 per board — tack-down only)</t>
        </is>
      </c>
      <c r="B10" s="27">
        <f>B8*4</f>
        <v/>
      </c>
      <c r="C10" s="27" t="inlineStr">
        <is>
          <t>pcs</t>
        </is>
      </c>
      <c r="F10" s="30" t="n">
        <v>1</v>
      </c>
    </row>
    <row r="11" ht="15" customHeight="1" s="23">
      <c r="A11" s="25">
        <f>"Plates: "&amp;TEXT(B8,"0")&amp;" boards × 4 = "&amp;TEXT(B10,"#,##0")&amp;" → 1 box."</f>
        <v/>
      </c>
    </row>
    <row r="12" ht="15" customHeight="1" s="23">
      <c r="A12" s="27" t="inlineStr">
        <is>
          <t>OSB 5⁄8″  (+10% waste — chopped up)</t>
        </is>
      </c>
      <c r="B12" s="30">
        <f>ROUNDUP(B3*3*1.1,0)</f>
        <v/>
      </c>
      <c r="C12" s="27" t="inlineStr">
        <is>
          <t>sheet</t>
        </is>
      </c>
      <c r="F12" s="30">
        <f>B12</f>
        <v/>
      </c>
    </row>
    <row r="13" ht="15" customHeight="1" s="23">
      <c r="A13" s="25">
        <f>"OSB: "&amp;TEXT(B3,"0")&amp;" sq × 3 = "&amp;TEXT(B3*3,"0")&amp;" + 10% waste = "&amp;TEXT(B3*3*1.1,"0.00")&amp;" → "&amp;B12&amp;" sheets."</f>
        <v/>
      </c>
    </row>
    <row r="14" ht="15" customHeight="1" s="23">
      <c r="A14" s="27" t="inlineStr">
        <is>
          <t>3″ #15 screws</t>
        </is>
      </c>
      <c r="B14" s="30">
        <f>B6*2+B10</f>
        <v/>
      </c>
      <c r="C14" s="27" t="inlineStr">
        <is>
          <t>pcs</t>
        </is>
      </c>
      <c r="F14" s="30">
        <f>ROUNDUP(B14/1000,0)</f>
        <v/>
      </c>
    </row>
    <row r="15" ht="15" customHeight="1" s="23">
      <c r="A15" s="25">
        <f>"3″ #15: 2×4 "&amp;TEXT(B6,"#,##0")&amp;"′ × 2 (6″ OC) = "&amp;TEXT(B6*2,"#,##0")&amp;"  +  ISO plates "&amp;TEXT(B10,"#,##0")&amp;"  =  "&amp;TEXT(B14,"#,##0")&amp;" → "&amp;F14&amp;" box of 1,000."</f>
        <v/>
      </c>
    </row>
    <row r="16" ht="15" customHeight="1" s="23">
      <c r="A16" s="27" t="inlineStr">
        <is>
          <t>4″ SIP fasteners  (OSB)</t>
        </is>
      </c>
      <c r="B16" s="30">
        <f>B12*16</f>
        <v/>
      </c>
      <c r="C16" s="27" t="inlineStr">
        <is>
          <t>pcs</t>
        </is>
      </c>
      <c r="F16" s="30">
        <f>ROUNDUP(B16/1000,0)</f>
        <v/>
      </c>
    </row>
    <row r="17" ht="15" customHeight="1" s="23">
      <c r="A17" s="25">
        <f>"SIP: 16 per OSB sheet × "&amp;TEXT(B12,"0")&amp;" = "&amp;TEXT(B16,"#,##0")&amp;" → "&amp;F16&amp;" boxes of 1,000."</f>
        <v/>
      </c>
    </row>
    <row r="19" ht="15" customHeight="1" s="23">
      <c r="A19" s="24" t="inlineStr">
        <is>
          <t>MATERIAL   (plus tax)</t>
        </is>
      </c>
    </row>
    <row r="20" ht="15" customHeight="1" s="23">
      <c r="A20" s="24" t="inlineStr">
        <is>
          <t>Item</t>
        </is>
      </c>
      <c r="B20" s="24" t="inlineStr">
        <is>
          <t>Qty</t>
        </is>
      </c>
      <c r="C20" s="24" t="inlineStr">
        <is>
          <t>Unit</t>
        </is>
      </c>
      <c r="D20" s="24" t="inlineStr">
        <is>
          <t>Unit $</t>
        </is>
      </c>
      <c r="E20" s="24" t="inlineStr">
        <is>
          <t>Line Total</t>
        </is>
      </c>
    </row>
    <row r="21" ht="15" customHeight="1" s="23">
      <c r="A21" s="27" t="inlineStr">
        <is>
          <t>2×4 (10′ stick)</t>
        </is>
      </c>
      <c r="B21" s="27">
        <f>F6</f>
        <v/>
      </c>
      <c r="C21" s="27" t="inlineStr">
        <is>
          <t>stick</t>
        </is>
      </c>
      <c r="D21" s="32" t="n">
        <v>5</v>
      </c>
      <c r="E21" s="33">
        <f>B21*D21</f>
        <v/>
      </c>
    </row>
    <row r="22" ht="15" customHeight="1" s="23">
      <c r="A22" s="27" t="inlineStr">
        <is>
          <t>3″ #15 screws (1,000/box)</t>
        </is>
      </c>
      <c r="B22" s="27">
        <f>F14</f>
        <v/>
      </c>
      <c r="C22" s="27" t="inlineStr">
        <is>
          <t>box</t>
        </is>
      </c>
      <c r="D22" s="32" t="n">
        <v>200</v>
      </c>
      <c r="E22" s="33">
        <f>B22*D22</f>
        <v/>
      </c>
    </row>
    <row r="23" ht="15" customHeight="1" s="23">
      <c r="A23" s="27" t="inlineStr">
        <is>
          <t>ISO 1½″ boards  (1.5 × 32 sf × $0.435)</t>
        </is>
      </c>
      <c r="B23" s="27">
        <f>B8</f>
        <v/>
      </c>
      <c r="C23" s="27" t="inlineStr">
        <is>
          <t>board</t>
        </is>
      </c>
      <c r="D23" s="33">
        <f>1.5*32*0.435</f>
        <v/>
      </c>
      <c r="E23" s="33">
        <f>B23*D23</f>
        <v/>
      </c>
    </row>
    <row r="24" ht="15" customHeight="1" s="23">
      <c r="A24" s="27" t="inlineStr">
        <is>
          <t>ISO plates</t>
        </is>
      </c>
      <c r="B24" s="27" t="n">
        <v>1</v>
      </c>
      <c r="C24" s="27" t="inlineStr">
        <is>
          <t>box</t>
        </is>
      </c>
      <c r="D24" s="32" t="n">
        <v>280</v>
      </c>
      <c r="E24" s="33">
        <f>B24*D24</f>
        <v/>
      </c>
    </row>
    <row r="25" ht="15" customHeight="1" s="23">
      <c r="A25" s="27" t="inlineStr">
        <is>
          <t>OSB 5⁄8″</t>
        </is>
      </c>
      <c r="B25" s="27">
        <f>B12</f>
        <v/>
      </c>
      <c r="C25" s="27" t="inlineStr">
        <is>
          <t>sheet</t>
        </is>
      </c>
      <c r="D25" s="32" t="n">
        <v>25</v>
      </c>
      <c r="E25" s="33">
        <f>B25*D25</f>
        <v/>
      </c>
    </row>
    <row r="26" ht="15" customHeight="1" s="23">
      <c r="A26" s="27" t="inlineStr">
        <is>
          <t>4″ SIP fasteners (1,000/box)</t>
        </is>
      </c>
      <c r="B26" s="27">
        <f>F16</f>
        <v/>
      </c>
      <c r="C26" s="27" t="inlineStr">
        <is>
          <t>box</t>
        </is>
      </c>
      <c r="D26" s="32" t="n">
        <v>250</v>
      </c>
      <c r="E26" s="33">
        <f>B26*D26</f>
        <v/>
      </c>
    </row>
    <row r="27" ht="15" customHeight="1" s="23">
      <c r="A27" s="27" t="inlineStr">
        <is>
          <t>Delivery — nail base</t>
        </is>
      </c>
      <c r="B27" s="27" t="n">
        <v>1</v>
      </c>
      <c r="C27" s="27" t="inlineStr">
        <is>
          <t>trip</t>
        </is>
      </c>
      <c r="D27" s="32" t="n">
        <v>200</v>
      </c>
      <c r="E27" s="33">
        <f>B27*D27</f>
        <v/>
      </c>
    </row>
    <row r="28" ht="15" customHeight="1" s="23">
      <c r="A28" s="27" t="inlineStr">
        <is>
          <t>Material subtotal</t>
        </is>
      </c>
      <c r="E28" s="33">
        <f>SUM(E21:E27)</f>
        <v/>
      </c>
    </row>
    <row r="29" ht="15" customHeight="1" s="23">
      <c r="A29" s="27" t="inlineStr">
        <is>
          <t>Sales tax (8.25%)</t>
        </is>
      </c>
      <c r="E29" s="33">
        <f>E28*0.0825</f>
        <v/>
      </c>
    </row>
    <row r="30" ht="15" customHeight="1" s="23">
      <c r="A30" s="34" t="inlineStr">
        <is>
          <t>MATERIAL TOTAL (w/ tax)</t>
        </is>
      </c>
      <c r="E30" s="35">
        <f>E28+E29</f>
        <v/>
      </c>
    </row>
    <row r="31" ht="15" customHeight="1" s="23">
      <c r="A31" s="25">
        <f>"ISO board: 1.5 × 32 sf × $0.435 = "&amp;TEXT(D23,"$#,##0.00")&amp;" each. #15 screws + SIP fasteners buy in boxes of 1,000."</f>
        <v/>
      </c>
    </row>
    <row r="33" ht="15" customHeight="1" s="23">
      <c r="A33" s="24" t="inlineStr">
        <is>
          <t>LABOR   (no tax)</t>
        </is>
      </c>
    </row>
    <row r="34" ht="15" customHeight="1" s="23">
      <c r="A34" s="24" t="inlineStr">
        <is>
          <t>Line</t>
        </is>
      </c>
      <c r="B34" s="24" t="inlineStr">
        <is>
          <t>Qty</t>
        </is>
      </c>
      <c r="C34" s="24" t="inlineStr">
        <is>
          <t>Unit</t>
        </is>
      </c>
      <c r="D34" s="24" t="inlineStr">
        <is>
          <t>Rate</t>
        </is>
      </c>
      <c r="E34" s="24" t="inlineStr">
        <is>
          <t>Total</t>
        </is>
      </c>
    </row>
    <row r="35" ht="15" customHeight="1" s="23">
      <c r="A35" s="27" t="inlineStr">
        <is>
          <t>Wood nailer install</t>
        </is>
      </c>
      <c r="B35" s="27">
        <f>B6</f>
        <v/>
      </c>
      <c r="C35" s="27" t="inlineStr">
        <is>
          <t>LF</t>
        </is>
      </c>
      <c r="D35" s="32" t="n">
        <v>4</v>
      </c>
      <c r="E35" s="33">
        <f>B35*D35</f>
        <v/>
      </c>
    </row>
    <row r="36" ht="15" customHeight="1" s="23">
      <c r="A36" s="27" t="inlineStr">
        <is>
          <t>ISO + OSB install</t>
        </is>
      </c>
      <c r="B36" s="27">
        <f>B12</f>
        <v/>
      </c>
      <c r="C36" s="27" t="inlineStr">
        <is>
          <t>sheet</t>
        </is>
      </c>
      <c r="D36" s="32" t="n">
        <v>30</v>
      </c>
      <c r="E36" s="33">
        <f>B36*D36</f>
        <v/>
      </c>
      <c r="G36" s="36">
        <f>IF(B3=0,"",E36/B3)</f>
        <v/>
      </c>
    </row>
    <row r="37" ht="15" customHeight="1" s="23">
      <c r="A37" s="37" t="inlineStr">
        <is>
          <t>LABOR TOTAL (no tax)</t>
        </is>
      </c>
      <c r="E37" s="38">
        <f>SUM(E35:E36)</f>
        <v/>
      </c>
      <c r="G37" s="39">
        <f>IF(B3=0,"",E37/B3)</f>
        <v/>
      </c>
    </row>
    <row r="38" ht="15" customHeight="1" s="23">
      <c r="A38" s="25">
        <f>"Labor: nailer "&amp;TEXT(B35,"#,##0")&amp;"′ × $"&amp;D35&amp;"/LF = "&amp;TEXT(E35,"$#,##0.00")&amp;";  ISO+OSB "&amp;TEXT(B36,"0")&amp;" sheets × $"&amp;D36&amp;" (≈$90/sq) = "&amp;TEXT(E36,"$#,##0.00")&amp;" — placeholder, Adam matching to priced jobs."</f>
        <v/>
      </c>
    </row>
    <row r="40" ht="15" customHeight="1" s="23">
      <c r="A40" s="24" t="inlineStr">
        <is>
          <t>NAIL BASE TOTAL</t>
        </is>
      </c>
    </row>
    <row r="41" ht="15" customHeight="1" s="23">
      <c r="A41" s="40" t="inlineStr">
        <is>
          <t>Material (w/ tax)</t>
        </is>
      </c>
      <c r="B41" s="41">
        <f>E30</f>
        <v/>
      </c>
    </row>
    <row r="42" ht="15" customHeight="1" s="23">
      <c r="A42" s="27" t="inlineStr">
        <is>
          <t>Material markup (20%)</t>
        </is>
      </c>
      <c r="B42" s="33">
        <f>B41*0.2</f>
        <v/>
      </c>
    </row>
    <row r="43" ht="15" customHeight="1" s="23">
      <c r="A43" s="42" t="inlineStr">
        <is>
          <t>Labor (no markup)</t>
        </is>
      </c>
      <c r="B43" s="43">
        <f>E37</f>
        <v/>
      </c>
    </row>
    <row r="44" ht="15" customHeight="1" s="23">
      <c r="A44" s="30" t="inlineStr">
        <is>
          <t>NAIL BASE TOTAL</t>
        </is>
      </c>
      <c r="B44" s="44">
        <f>B41+B42+B43</f>
        <v/>
      </c>
      <c r="C44" s="27" t="inlineStr">
        <is>
          <t>Price / sq (÷ field sq)</t>
        </is>
      </c>
      <c r="D44" s="44">
        <f>IF(B3=0,"",B44/B3)</f>
        <v/>
      </c>
    </row>
    <row r="45" ht="25.5" customHeight="1" s="23">
      <c r="A45" s="31">
        <f>IF(B3=0,"Type the field squares (B3) and 2×4 LF (B6) into the blue cells — everything prices itself.","Material "&amp;TEXT(B41,"$#,##0.00")&amp;" + 20% markup "&amp;TEXT(B42,"$#,##0.00")&amp;" + labor "&amp;TEXT(B43,"$#,##0.00")&amp;" = "&amp;TEXT(B44,"$#,##0.00")&amp;" ÷ "&amp;TEXT(B3,"0")&amp;" field sq = "&amp;TEXT(D44,"$#,##0.00")&amp;"/sq.")</f>
        <v/>
      </c>
    </row>
  </sheetData>
  <mergeCells count="15">
    <mergeCell ref="A38:F38"/>
    <mergeCell ref="A2:F2"/>
    <mergeCell ref="A11:F11"/>
    <mergeCell ref="A33:F33"/>
    <mergeCell ref="A13:F13"/>
    <mergeCell ref="A19:F19"/>
    <mergeCell ref="A1:F1"/>
    <mergeCell ref="A45:F45"/>
    <mergeCell ref="A9:F9"/>
    <mergeCell ref="A31:F31"/>
    <mergeCell ref="A17:F17"/>
    <mergeCell ref="A40:F40"/>
    <mergeCell ref="A4:F4"/>
    <mergeCell ref="A15:F15"/>
    <mergeCell ref="A7:F7"/>
  </mergeCells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2026-09-01T01:03:33Z</dcterms:created>
  <dcterms:modified xmlns:dcterms="http://purl.org/dc/terms/" xmlns:xsi="http://www.w3.org/2001/XMLSchema-instance" xsi:type="dcterms:W3CDTF">2026-09-02T12:50:58Z</dcterms:modified>
  <cp:revision>0</cp:revision>
</cp:coreProperties>
</file>