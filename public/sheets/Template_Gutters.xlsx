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tters &amp; D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\$#,##0.00&quot;/LF&quot;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1155CC"/>
      <sz val="9"/>
    </font>
    <font>
      <sz val="10"/>
    </font>
    <font>
      <color rgb="000000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E599"/>
      </patternFill>
    </fill>
    <fill>
      <patternFill patternType="solid">
        <fgColor rgb="00C6EFCE"/>
      </patternFill>
    </fill>
    <fill>
      <patternFill patternType="solid">
        <fgColor rgb="00A9D0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2" fontId="3" fillId="0" borderId="0" pivotButton="0" quotePrefix="0" xfId="0"/>
    <xf numFmtId="0" fontId="5" fillId="0" borderId="0" pivotButton="0" quotePrefix="0" xfId="0"/>
    <xf numFmtId="164" fontId="4" fillId="0" borderId="0" pivotButton="0" quotePrefix="0" xfId="0"/>
    <xf numFmtId="164" fontId="3" fillId="0" borderId="0" pivotButton="0" quotePrefix="0" xfId="0"/>
    <xf numFmtId="0" fontId="5" fillId="4" borderId="0" pivotButton="0" quotePrefix="0" xfId="0"/>
    <xf numFmtId="0" fontId="0" fillId="4" borderId="0" pivotButton="0" quotePrefix="0" xfId="0"/>
    <xf numFmtId="164" fontId="5" fillId="4" borderId="0" pivotButton="0" quotePrefix="0" xfId="0"/>
    <xf numFmtId="0" fontId="5" fillId="5" borderId="0" pivotButton="0" quotePrefix="0" xfId="0"/>
    <xf numFmtId="0" fontId="0" fillId="5" borderId="0" pivotButton="0" quotePrefix="0" xfId="0"/>
    <xf numFmtId="165" fontId="5" fillId="5" borderId="0" pivotButton="0" quotePrefix="0" xfId="0"/>
    <xf numFmtId="164" fontId="5" fillId="5" borderId="0" pivotButton="0" quotePrefix="0" xfId="0"/>
    <xf numFmtId="0" fontId="3" fillId="5" borderId="0" pivotButton="0" quotePrefix="0" xfId="0"/>
    <xf numFmtId="164" fontId="3" fillId="5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3" fillId="6" borderId="0" pivotButton="0" quotePrefix="0" xfId="0"/>
    <xf numFmtId="0" fontId="0" fillId="6" borderId="0" pivotButton="0" quotePrefix="0" xfId="0"/>
    <xf numFmtId="164" fontId="3" fillId="6" borderId="0" pivotButton="0" quotePrefix="0" xfId="0"/>
    <xf numFmtId="165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4" customWidth="1" min="3" max="3"/>
    <col width="10" customWidth="1" min="4" max="4"/>
    <col width="12" customWidth="1" min="5" max="5"/>
    <col width="13" customWidth="1" min="6" max="6"/>
  </cols>
  <sheetData>
    <row r="1">
      <c r="A1" s="1" t="inlineStr">
        <is>
          <t>SMS ROOFING  —  GUTTERS &amp; DOWNSPOUTS TEMPLATE  •  BLANK — TYPE THE JOB INTO THE BLUE CELLS</t>
        </is>
      </c>
    </row>
    <row r="2" ht="26" customHeight="1">
      <c r="A2" s="2" t="inlineStr">
        <is>
          <t>TAKEOFF first, then MATERIAL, then LABOR — and they check each other — then THE LEDGER. Green = labor · yellow = material w/tax · bright green = what I make. Blue numbers are the only inputs.</t>
        </is>
      </c>
    </row>
    <row r="4">
      <c r="A4" s="1" t="inlineStr">
        <is>
          <t>1 · TAKEOFF — FEET &amp; SHEETS  (4′ × 10′ sheets, 22ga Kynar)</t>
        </is>
      </c>
    </row>
    <row r="5">
      <c r="A5" s="1" t="inlineStr">
        <is>
          <t>Piece</t>
        </is>
      </c>
      <c r="B5" s="1" t="inlineStr">
        <is>
          <t>LF</t>
        </is>
      </c>
      <c r="C5" s="1" t="inlineStr">
        <is>
          <t>Stretch-out in</t>
        </is>
      </c>
      <c r="D5" s="1" t="inlineStr">
        <is>
          <t>LF/sheet</t>
        </is>
      </c>
      <c r="E5" s="1" t="inlineStr">
        <is>
          <t>Raw</t>
        </is>
      </c>
      <c r="F5" s="1" t="inlineStr">
        <is>
          <t>Sheets</t>
        </is>
      </c>
    </row>
    <row r="6">
      <c r="A6" s="3" t="inlineStr">
        <is>
          <t>Gutters</t>
        </is>
      </c>
      <c r="B6" s="4" t="n">
        <v>0</v>
      </c>
      <c r="C6" s="4" t="n">
        <v>24</v>
      </c>
      <c r="D6" s="3">
        <f>FLOOR(48/C6,1)*10</f>
        <v/>
      </c>
      <c r="E6" s="5">
        <f>B6/D6</f>
        <v/>
      </c>
      <c r="F6" s="6">
        <f>ROUNDUP(E6,0)</f>
        <v/>
      </c>
    </row>
    <row r="7" ht="15" customHeight="1">
      <c r="A7" s="2">
        <f>"Gutters: "&amp;TEXT(B6,"#,##0")&amp;"′ ÷ "&amp;D6&amp;" LF/sheet (48÷"&amp;TEXT(C6,"0.0")&amp;"″ = "&amp;FLOOR(48/C6,1)&amp;" strips ×10′) = "&amp;TEXT(E6,"0.00")&amp;" → "&amp;F6&amp;" sheets."</f>
        <v/>
      </c>
    </row>
    <row r="8">
      <c r="A8" s="3" t="inlineStr">
        <is>
          <t>Downspouts</t>
        </is>
      </c>
      <c r="B8" s="4" t="n">
        <v>0</v>
      </c>
      <c r="C8" s="4" t="n">
        <v>24</v>
      </c>
      <c r="D8" s="3">
        <f>FLOOR(48/C8,1)*10</f>
        <v/>
      </c>
      <c r="E8" s="5">
        <f>B8/D8</f>
        <v/>
      </c>
      <c r="F8" s="6">
        <f>ROUNDUP(E8,0)</f>
        <v/>
      </c>
    </row>
    <row r="9" ht="15" customHeight="1">
      <c r="A9" s="2">
        <f>"Downspouts: "&amp;TEXT(B8,"#,##0")&amp;"′ ÷ "&amp;D8&amp;" LF/sheet = "&amp;TEXT(E8,"0.00")&amp;" → "&amp;F8&amp;" sheets."</f>
        <v/>
      </c>
    </row>
    <row r="10">
      <c r="A10" s="6" t="inlineStr">
        <is>
          <t>TOTAL GUTTERS + DS</t>
        </is>
      </c>
      <c r="B10" s="6">
        <f>B6+B8</f>
        <v/>
      </c>
    </row>
    <row r="12">
      <c r="A12" s="1" t="inlineStr">
        <is>
          <t>2 · MATERIAL PRICING — DOLLARS  (everything below is plus tax)</t>
        </is>
      </c>
    </row>
    <row r="13">
      <c r="A13" s="1" t="inlineStr">
        <is>
          <t>Material</t>
        </is>
      </c>
      <c r="B13" s="1" t="inlineStr">
        <is>
          <t>Qty</t>
        </is>
      </c>
      <c r="C13" s="1" t="inlineStr">
        <is>
          <t>Unit</t>
        </is>
      </c>
      <c r="D13" s="1" t="inlineStr">
        <is>
          <t>$ each</t>
        </is>
      </c>
      <c r="E13" s="1" t="inlineStr">
        <is>
          <t>Line</t>
        </is>
      </c>
      <c r="F13" s="1" t="inlineStr">
        <is>
          <t>TOTAL →</t>
        </is>
      </c>
    </row>
    <row r="14">
      <c r="A14" s="3" t="inlineStr">
        <is>
          <t>Gutter sheets (22ga Kynar)</t>
        </is>
      </c>
      <c r="B14" s="3">
        <f>F6</f>
        <v/>
      </c>
      <c r="C14" s="3" t="inlineStr">
        <is>
          <t>sheet</t>
        </is>
      </c>
      <c r="D14" s="7" t="n">
        <v>110</v>
      </c>
      <c r="E14" s="8">
        <f>B14*D14</f>
        <v/>
      </c>
    </row>
    <row r="15">
      <c r="A15" s="3" t="inlineStr">
        <is>
          <t>Downspout sheets (22ga Kynar)</t>
        </is>
      </c>
      <c r="B15" s="3">
        <f>F8</f>
        <v/>
      </c>
      <c r="C15" s="3" t="inlineStr">
        <is>
          <t>sheet</t>
        </is>
      </c>
      <c r="D15" s="7" t="n">
        <v>110</v>
      </c>
      <c r="E15" s="8">
        <f>B15*D15</f>
        <v/>
      </c>
    </row>
    <row r="16">
      <c r="A16" s="3" t="inlineStr">
        <is>
          <t>Delivery</t>
        </is>
      </c>
      <c r="B16" s="4" t="n">
        <v>1</v>
      </c>
      <c r="C16" s="3" t="inlineStr">
        <is>
          <t>trip</t>
        </is>
      </c>
      <c r="D16" s="7" t="n">
        <v>200</v>
      </c>
      <c r="E16" s="8">
        <f>B16*D16</f>
        <v/>
      </c>
    </row>
    <row r="17">
      <c r="A17" s="3" t="inlineStr">
        <is>
          <t>Material subtotal</t>
        </is>
      </c>
      <c r="F17" s="8">
        <f>E14+E15+E16</f>
        <v/>
      </c>
    </row>
    <row r="18">
      <c r="A18" s="3" t="inlineStr">
        <is>
          <t>Sales tax (8.25% — material only, no tax on labor)</t>
        </is>
      </c>
      <c r="F18" s="8">
        <f>F17*0.0825</f>
        <v/>
      </c>
    </row>
    <row r="19">
      <c r="A19" s="9" t="inlineStr">
        <is>
          <t>MATERIAL TOTAL (w/ tax)</t>
        </is>
      </c>
      <c r="B19" s="10" t="n"/>
      <c r="C19" s="10" t="n"/>
      <c r="D19" s="10" t="n"/>
      <c r="E19" s="10" t="n"/>
      <c r="F19" s="11">
        <f>F17+F18</f>
        <v/>
      </c>
    </row>
    <row r="21">
      <c r="A21" s="1" t="inlineStr">
        <is>
          <t>3 · LABOR  (it has to match the takeoff foot for foot)</t>
        </is>
      </c>
    </row>
    <row r="22">
      <c r="A22" s="1" t="inlineStr">
        <is>
          <t>Labor</t>
        </is>
      </c>
      <c r="B22" s="1" t="inlineStr">
        <is>
          <t>Qty</t>
        </is>
      </c>
      <c r="C22" s="1" t="inlineStr">
        <is>
          <t>Unit</t>
        </is>
      </c>
      <c r="D22" s="1" t="inlineStr">
        <is>
          <t>Rate</t>
        </is>
      </c>
      <c r="E22" s="1" t="inlineStr">
        <is>
          <t>Line</t>
        </is>
      </c>
      <c r="F22" s="1" t="inlineStr">
        <is>
          <t>TOTAL →</t>
        </is>
      </c>
    </row>
    <row r="23">
      <c r="A23" s="3" t="inlineStr">
        <is>
          <t>Gutter install</t>
        </is>
      </c>
      <c r="B23" s="3">
        <f>B6</f>
        <v/>
      </c>
      <c r="C23" s="3" t="inlineStr">
        <is>
          <t>LF</t>
        </is>
      </c>
      <c r="D23" s="7" t="n">
        <v>10</v>
      </c>
      <c r="E23" s="8">
        <f>B23*D23</f>
        <v/>
      </c>
    </row>
    <row r="24">
      <c r="A24" s="3" t="inlineStr">
        <is>
          <t>Downspout install</t>
        </is>
      </c>
      <c r="B24" s="3">
        <f>B8</f>
        <v/>
      </c>
      <c r="C24" s="3" t="inlineStr">
        <is>
          <t>LF</t>
        </is>
      </c>
      <c r="D24" s="7" t="n">
        <v>10</v>
      </c>
      <c r="E24" s="8">
        <f>B24*D24</f>
        <v/>
      </c>
    </row>
    <row r="25">
      <c r="A25" s="3" t="inlineStr">
        <is>
          <t>Shop fab — we make every sheet</t>
        </is>
      </c>
      <c r="B25" s="3">
        <f>F6+F8</f>
        <v/>
      </c>
      <c r="C25" s="3" t="inlineStr">
        <is>
          <t>sheet</t>
        </is>
      </c>
      <c r="D25" s="7" t="n">
        <v>40</v>
      </c>
      <c r="E25" s="8">
        <f>B25*D25</f>
        <v/>
      </c>
    </row>
    <row r="26">
      <c r="A26" s="12" t="inlineStr">
        <is>
          <t>LABOR TOTAL</t>
        </is>
      </c>
      <c r="B26" s="13" t="n"/>
      <c r="C26" s="13" t="n"/>
      <c r="D26" s="13" t="n"/>
      <c r="E26" s="14">
        <f>IF(B10=0,"",F26/B10)</f>
        <v/>
      </c>
      <c r="F26" s="15">
        <f>SUM(E23:E25)</f>
        <v/>
      </c>
    </row>
    <row r="27">
      <c r="A27" s="6">
        <f>IF(B23+B24=B10,"✓ CHECK: install labor covers "&amp;TEXT(B23+B24,"#,##0")&amp;"′ — matches the takeoff foot for foot.","✗ CHECK FAILED: labor feet do not match the takeoff feet.")</f>
        <v/>
      </c>
    </row>
    <row r="28" ht="15" customHeight="1">
      <c r="A28" s="2">
        <f>"Rates: gutters $"&amp;TEXT(D23,"0")&amp;"/LF · downspouts $"&amp;TEXT(D24,"0")&amp;"/LF · fab $"&amp;TEXT(D25,"0")&amp;"/sheet × "&amp;TEXT(B25,"0")&amp;" sheets."</f>
        <v/>
      </c>
    </row>
    <row r="30">
      <c r="A30" s="1" t="inlineStr">
        <is>
          <t>4 · GUTTERS &amp; DOWNSPOUTS — THE LEDGER</t>
        </is>
      </c>
      <c r="B30" s="1" t="inlineStr"/>
      <c r="C30" s="1" t="inlineStr"/>
      <c r="D30" s="1" t="inlineStr"/>
      <c r="E30" s="1" t="inlineStr">
        <is>
          <t>$ / LF</t>
        </is>
      </c>
      <c r="F30" s="1" t="inlineStr">
        <is>
          <t>TOTAL →</t>
        </is>
      </c>
    </row>
    <row r="31">
      <c r="A31" s="16" t="inlineStr">
        <is>
          <t>Labor</t>
        </is>
      </c>
      <c r="B31" s="13" t="n"/>
      <c r="C31" s="13" t="n"/>
      <c r="D31" s="13" t="n"/>
      <c r="E31" s="13" t="n"/>
      <c r="F31" s="17">
        <f>F26</f>
        <v/>
      </c>
    </row>
    <row r="32">
      <c r="A32" s="18" t="inlineStr">
        <is>
          <t>Material (w/ tax)</t>
        </is>
      </c>
      <c r="B32" s="10" t="n"/>
      <c r="C32" s="10" t="n"/>
      <c r="D32" s="10" t="n"/>
      <c r="E32" s="10" t="n"/>
      <c r="F32" s="19">
        <f>F19</f>
        <v/>
      </c>
    </row>
    <row r="33">
      <c r="A33" s="20" t="inlineStr">
        <is>
          <t>Markup (20% on material — what I make)</t>
        </is>
      </c>
      <c r="B33" s="21" t="n"/>
      <c r="C33" s="21" t="n"/>
      <c r="D33" s="21" t="n"/>
      <c r="E33" s="21" t="n"/>
      <c r="F33" s="22">
        <f>F19*0.2</f>
        <v/>
      </c>
    </row>
    <row r="34">
      <c r="A34" s="6" t="inlineStr">
        <is>
          <t>GUTTERS &amp; DOWNSPOUTS TOTAL</t>
        </is>
      </c>
      <c r="E34" s="23">
        <f>IF(B10=0,"",F34/B10)</f>
        <v/>
      </c>
      <c r="F34" s="24">
        <f>F31+F32+F33</f>
        <v/>
      </c>
    </row>
    <row r="35" ht="18" customHeight="1">
      <c r="A35" s="2">
        <f>"Gutters/DS: labor "&amp;TEXT(F31,"$#,##0.00")&amp;" + material w/tax "&amp;TEXT(F32,"$#,##0.00")&amp;" + markup "&amp;TEXT(F33,"$#,##0.00")&amp;" = "&amp;TEXT(F34,"$#,##0.00")&amp;"."</f>
        <v/>
      </c>
    </row>
  </sheetData>
  <mergeCells count="10">
    <mergeCell ref="A2:F2"/>
    <mergeCell ref="A28:F28"/>
    <mergeCell ref="A1:F1"/>
    <mergeCell ref="A9:F9"/>
    <mergeCell ref="A27:F27"/>
    <mergeCell ref="A12:F12"/>
    <mergeCell ref="A4:F4"/>
    <mergeCell ref="A35:F35"/>
    <mergeCell ref="A21:F21"/>
    <mergeCell ref="A7:F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2026-09-02T12:51:34Z</dcterms:created>
  <dcterms:modified xmlns:dcterms="http://purl.org/dc/terms/" xmlns:xsi="http://www.w3.org/2001/XMLSchema-instance" xsi:type="dcterms:W3CDTF">2026-09-02T12:51:34Z</dcterms:modified>
</cp:coreProperties>
</file>