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p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FD8"/>
      <sz val="10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EEF4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0" fontId="6" fillId="4" borderId="0" pivotButton="0" quotePrefix="0" xfId="0"/>
    <xf numFmtId="0" fontId="0" fillId="4" borderId="0" pivotButton="0" quotePrefix="0" xfId="0"/>
    <xf numFmtId="10" fontId="7" fillId="5" borderId="0" pivotButton="0" quotePrefix="0" xfId="0"/>
    <xf numFmtId="0" fontId="7" fillId="5" borderId="1" pivotButton="0" quotePrefix="0" xfId="0"/>
    <xf numFmtId="0" fontId="7" fillId="5" borderId="0" pivotButton="0" quotePrefix="0" xfId="0"/>
    <xf numFmtId="4" fontId="8" fillId="0" borderId="0" pivotButton="0" quotePrefix="0" xfId="0"/>
    <xf numFmtId="0" fontId="6" fillId="0" borderId="0" pivotButton="0" quotePrefix="0" xfId="0"/>
    <xf numFmtId="164" fontId="7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12" customWidth="1" min="8" max="8"/>
    <col width="14" customWidth="1" min="9" max="9"/>
    <col width="70" customWidth="1" min="10" max="10"/>
  </cols>
  <sheetData>
    <row r="1" ht="24" customHeight="1">
      <c r="A1" s="1" t="inlineStr">
        <is>
          <t>WALKPADS  —  a roll is 50 ft; partial rolls buy in quarters</t>
        </is>
      </c>
    </row>
    <row r="2" ht="44" customHeight="1">
      <c r="A2" s="2" t="inlineStr">
        <is>
          <t>A roof hatch always needs walkpad. Plan LF + 10 ft per hatch = what you actually need. Then: up to a quarter of a roll buys a quarter, up to a half buys a half, anything over buys the whole roll.</t>
        </is>
      </c>
    </row>
    <row r="3">
      <c r="A3" s="3" t="inlineStr">
        <is>
          <t>Came from: 03 TPO MA ISO + MA TPO — NEW CONSTRUCTION (10/8/26).   Blue = type here · green = reads another page · black = locked formula · red = RAW before rounding.</t>
        </is>
      </c>
    </row>
    <row r="5">
      <c r="A5" s="4" t="inlineStr">
        <is>
          <t>THIS SCOPE  —  WHAT IT ADDS TO THE BID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Materials  (before tax)</t>
        </is>
      </c>
      <c r="B6" s="7">
        <f>N(I23)</f>
        <v/>
      </c>
      <c r="J6" s="3" t="inlineStr">
        <is>
          <t>every priced line on this page added up — the line $ column</t>
        </is>
      </c>
    </row>
    <row r="7">
      <c r="A7" s="6" t="inlineStr">
        <is>
          <t>Sales tax  (material only)</t>
        </is>
      </c>
      <c r="B7" s="7">
        <f>N(B6)*N($B$15)</f>
        <v/>
      </c>
    </row>
    <row r="8">
      <c r="A8" s="6" t="inlineStr">
        <is>
          <t>Material markup</t>
        </is>
      </c>
      <c r="B8" s="7">
        <f>(N(B6)+N(B7))*N($B$16)</f>
        <v/>
      </c>
      <c r="J8" s="3" t="inlineStr">
        <is>
          <t>materials w/ tax x material markup — all-in items left out</t>
        </is>
      </c>
    </row>
    <row r="9">
      <c r="A9" s="6" t="inlineStr">
        <is>
          <t>All-in items  (never taxed, never marked up)</t>
        </is>
      </c>
      <c r="B9" s="7">
        <f>0</f>
        <v/>
      </c>
    </row>
    <row r="10">
      <c r="A10" s="6" t="inlineStr">
        <is>
          <t>Labor</t>
        </is>
      </c>
      <c r="B10" s="7">
        <f>0</f>
        <v/>
      </c>
    </row>
    <row r="11">
      <c r="A11" s="6" t="inlineStr">
        <is>
          <t>Travel  (per diem + hotels + travel markup)</t>
        </is>
      </c>
      <c r="B11" s="7">
        <f>0</f>
        <v/>
      </c>
    </row>
    <row r="12">
      <c r="A12" s="8" t="inlineStr">
        <is>
          <t>SCOPE TOTAL</t>
        </is>
      </c>
      <c r="B12" s="9">
        <f>N(B6)+N(B7)+N(B8)+N(B9)+N(B10)+N(B11)</f>
        <v/>
      </c>
    </row>
    <row r="14">
      <c r="A14" s="10" t="inlineStr">
        <is>
          <t>RATES &amp; SETUP  —  on a full bid these come from the Job page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t="inlineStr">
        <is>
          <t>Sales tax  (material only)</t>
        </is>
      </c>
      <c r="B15" s="12" t="n">
        <v>0.0825</v>
      </c>
      <c r="C15" t="inlineStr">
        <is>
          <t>%</t>
        </is>
      </c>
      <c r="J15" s="3" t="inlineStr">
        <is>
          <t>8.25% — material only, never labor. Scuppers and collector heads are all-in and never taxed.</t>
        </is>
      </c>
    </row>
    <row r="16">
      <c r="A16" t="inlineStr">
        <is>
          <t>Material markup  %</t>
        </is>
      </c>
      <c r="B16" s="12" t="n"/>
      <c r="C16" t="inlineStr">
        <is>
          <t>%</t>
        </is>
      </c>
      <c r="J16" s="3" t="inlineStr">
        <is>
          <t>VARIABLE — set it on THIS job. Materials carry no markup until it is answered.</t>
        </is>
      </c>
    </row>
    <row r="18">
      <c r="A18" t="inlineStr">
        <is>
          <t>Walkpad from the roof plan</t>
        </is>
      </c>
      <c r="B18" s="13" t="n"/>
      <c r="C18" t="inlineStr">
        <is>
          <t>LF</t>
        </is>
      </c>
      <c r="J18" s="3" t="inlineStr"/>
    </row>
    <row r="19">
      <c r="A19" t="inlineStr">
        <is>
          <t>Hatches on this roof</t>
        </is>
      </c>
      <c r="B19" s="13" t="n"/>
      <c r="C19" t="inlineStr">
        <is>
          <t>ea</t>
        </is>
      </c>
      <c r="J19" s="3" t="inlineStr">
        <is>
          <t>on a full bid this fills itself in — Roof hatch page</t>
        </is>
      </c>
    </row>
    <row r="20">
      <c r="A20" t="inlineStr">
        <is>
          <t>Walkpad per roof hatch</t>
        </is>
      </c>
      <c r="B20" s="13" t="n">
        <v>10</v>
      </c>
      <c r="C20" t="inlineStr">
        <is>
          <t>LF</t>
        </is>
      </c>
      <c r="J20" s="3" t="inlineStr">
        <is>
          <t>added automatically for every hatch</t>
        </is>
      </c>
    </row>
    <row r="21">
      <c r="A21" t="inlineStr">
        <is>
          <t>TOTAL walkpad needed</t>
        </is>
      </c>
      <c r="B21" s="6">
        <f>N($B$18)+N($B$19)*N($B$20)</f>
        <v/>
      </c>
      <c r="C21" t="inlineStr">
        <is>
          <t>LF</t>
        </is>
      </c>
      <c r="J21" s="3" t="inlineStr">
        <is>
          <t>plan LF + hatch allowance</t>
        </is>
      </c>
    </row>
    <row r="22">
      <c r="A22" s="4" t="inlineStr">
        <is>
          <t>Item</t>
        </is>
      </c>
      <c r="B22" s="4" t="inlineStr">
        <is>
          <t>Driver</t>
        </is>
      </c>
      <c r="C22" s="4" t="inlineStr">
        <is>
          <t>Unit</t>
        </is>
      </c>
      <c r="D22" s="4" t="inlineStr">
        <is>
          <t>Roll length</t>
        </is>
      </c>
      <c r="E22" s="4" t="inlineStr">
        <is>
          <t>RAW</t>
        </is>
      </c>
      <c r="F22" s="4" t="inlineStr">
        <is>
          <t>QTY</t>
        </is>
      </c>
      <c r="G22" s="4" t="inlineStr">
        <is>
          <t>Pkg</t>
        </is>
      </c>
      <c r="H22" s="4" t="inlineStr">
        <is>
          <t>$ each</t>
        </is>
      </c>
      <c r="I22" s="4" t="inlineStr">
        <is>
          <t>Line $</t>
        </is>
      </c>
      <c r="J22" s="4" t="inlineStr">
        <is>
          <t>How it is figured</t>
        </is>
      </c>
    </row>
    <row r="23">
      <c r="A23" t="inlineStr">
        <is>
          <t>Walkpad</t>
        </is>
      </c>
      <c r="B23" s="6">
        <f>$B$21</f>
        <v/>
      </c>
      <c r="C23" t="inlineStr">
        <is>
          <t>LF</t>
        </is>
      </c>
      <c r="D23" s="14" t="n">
        <v>50</v>
      </c>
      <c r="E23" s="15">
        <f>IFERROR(IF(OR(B23="",D23="",N(D23)=0),"",N(B23)/N(D23)),"")</f>
        <v/>
      </c>
      <c r="F23" s="16">
        <f>IFERROR(IF(OR(E23="",N(E23)=0),"",INT(E23)+IF(MOD(E23,1)=0,0,IF(MOD(E23,1)&lt;=0.25,0.25,IF(MOD(E23,1)&lt;=0.5,0.5,1)))),"")</f>
        <v/>
      </c>
      <c r="G23" t="inlineStr">
        <is>
          <t>roll</t>
        </is>
      </c>
      <c r="H23" s="17" t="n">
        <v>665</v>
      </c>
      <c r="I23" s="18">
        <f>IFERROR(IF(OR(F23="",H23=""),"",N(F23)*N(H23)),"")</f>
        <v/>
      </c>
      <c r="J23" s="3" t="inlineStr">
        <is>
          <t>full rolls, then the partial rounded UP to a quarter / half / whole   ·   41048  GAF TPO Walkway Roll — Gray 34.25" x 50'5"  ·  50 LF/ROLL</t>
        </is>
      </c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