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 flas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  <font>
      <name val="Arial"/>
      <color rgb="001E7B34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0" fontId="4" fillId="3" borderId="0" applyAlignment="1" pivotButton="0" quotePrefix="0" xfId="0">
      <alignment wrapText="1"/>
    </xf>
    <xf numFmtId="0" fontId="6" fillId="0" borderId="0" pivotButton="0" quotePrefix="0" xfId="0"/>
    <xf numFmtId="0" fontId="3" fillId="7" borderId="0" applyAlignment="1" pivotButton="0" quotePrefix="0" xfId="0">
      <alignment vertical="top" wrapText="1"/>
    </xf>
    <xf numFmtId="4" fontId="8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1" pivotButton="0" quotePrefix="0" xfId="0"/>
    <xf numFmtId="164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COUNTER FLASHING  +  CLEAT</t>
        </is>
      </c>
    </row>
    <row r="2" ht="44" customHeight="1">
      <c r="A2" s="2" t="inlineStr">
        <is>
          <t>Counter flashing gets a cleat only at a face over 3½″ — answer Cleat? on this job.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N(I45)+N(I46)+N(I47)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N(G49)+N(G50)+N(G51)</f>
        <v/>
      </c>
    </row>
    <row r="11">
      <c r="A11" s="6" t="inlineStr">
        <is>
          <t>Travel  (per diem + hotels + travel markup)</t>
        </is>
      </c>
      <c r="B11" s="7">
        <f>N(H49)+N(I49)+N(J49)+N(H50)+N(I50)+N(J50)+N(H51)+N(I51)+N(J51)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7">
      <c r="A17" t="inlineStr">
        <is>
          <t>Wage per man / day</t>
        </is>
      </c>
      <c r="B17" s="13" t="n">
        <v>270</v>
      </c>
      <c r="C17" t="inlineStr">
        <is>
          <t>$</t>
        </is>
      </c>
      <c r="J17" s="3" t="inlineStr">
        <is>
          <t>what a man costs a day</t>
        </is>
      </c>
    </row>
    <row r="18">
      <c r="A18" t="inlineStr">
        <is>
          <t>Overhead margin</t>
        </is>
      </c>
      <c r="B18" s="13" t="n">
        <v>0.5</v>
      </c>
      <c r="C18" t="inlineStr"/>
      <c r="J18" s="3" t="inlineStr">
        <is>
          <t>a margin, so it DIVIDES: 270 ÷ 50% = 540 a man a day</t>
        </is>
      </c>
    </row>
    <row r="19">
      <c r="A19" t="inlineStr">
        <is>
          <t>OUT OF TOWN?</t>
        </is>
      </c>
      <c r="B19" s="13" t="inlineStr">
        <is>
          <t>N</t>
        </is>
      </c>
      <c r="C19" t="inlineStr">
        <is>
          <t>Y / N</t>
        </is>
      </c>
      <c r="J19" s="3" t="inlineStr">
        <is>
          <t>Y turns on per diem, hotels and the travel markup</t>
        </is>
      </c>
    </row>
    <row r="20">
      <c r="A20" t="inlineStr">
        <is>
          <t>Per diem $ / man / day</t>
        </is>
      </c>
      <c r="B20" s="13" t="n">
        <v>60</v>
      </c>
      <c r="C20" t="inlineStr">
        <is>
          <t>$</t>
        </is>
      </c>
      <c r="J20" s="3" t="inlineStr">
        <is>
          <t>only counts when OUT OF TOWN = Y</t>
        </is>
      </c>
    </row>
    <row r="21">
      <c r="A21" t="inlineStr">
        <is>
          <t>Hotel $ / room / night</t>
        </is>
      </c>
      <c r="B21" s="13" t="n">
        <v>150</v>
      </c>
      <c r="C21" t="inlineStr">
        <is>
          <t>$</t>
        </is>
      </c>
      <c r="J21" s="3" t="inlineStr">
        <is>
          <t>two men a room — only counts when OUT OF TOWN = Y</t>
        </is>
      </c>
    </row>
    <row r="22">
      <c r="A22" t="inlineStr">
        <is>
          <t>Travel markup</t>
        </is>
      </c>
      <c r="B22" s="12" t="n">
        <v>0.3</v>
      </c>
      <c r="C22" t="inlineStr">
        <is>
          <t>%</t>
        </is>
      </c>
      <c r="J22" s="3" t="inlineStr">
        <is>
          <t>on per diem + hotels</t>
        </is>
      </c>
    </row>
    <row r="23">
      <c r="A23" t="inlineStr">
        <is>
          <t>Shop fab  $ per sheet</t>
        </is>
      </c>
      <c r="B23" s="13" t="n">
        <v>40</v>
      </c>
      <c r="C23" t="inlineStr">
        <is>
          <t>$</t>
        </is>
      </c>
      <c r="J23" s="3" t="inlineStr">
        <is>
          <t>every sheet of flat metal gets $40 a sheet fab</t>
        </is>
      </c>
    </row>
    <row r="25">
      <c r="A25" t="inlineStr">
        <is>
          <t>Fabricate in-house?</t>
        </is>
      </c>
      <c r="B25" s="14" t="inlineStr">
        <is>
          <t>Y</t>
        </is>
      </c>
      <c r="C25" t="inlineStr">
        <is>
          <t>Y / N</t>
        </is>
      </c>
      <c r="J25" s="3" t="inlineStr">
        <is>
          <t>if N — who supplies it. It buys by the foot instead (prefab line).</t>
        </is>
      </c>
    </row>
    <row r="26">
      <c r="A26" t="inlineStr">
        <is>
          <t>From my takeoff (LF)</t>
        </is>
      </c>
      <c r="B26" s="14" t="n"/>
      <c r="C26" t="inlineStr">
        <is>
          <t>LF</t>
        </is>
      </c>
      <c r="J26" s="3" t="inlineStr">
        <is>
          <t>the LF this piece shows on the takeoff app — the table builds its own; the two should agree</t>
        </is>
      </c>
    </row>
    <row r="27" ht="30" customHeight="1">
      <c r="A27" s="4" t="inlineStr">
        <is>
          <t>Wall</t>
        </is>
      </c>
      <c r="B27" s="15" t="inlineStr">
        <is>
          <t>Length (ft)</t>
        </is>
      </c>
      <c r="C27" s="15" t="inlineStr">
        <is>
          <t>Stretch-out (in)</t>
        </is>
      </c>
      <c r="D27" s="15" t="inlineStr">
        <is>
          <t>Strips</t>
        </is>
      </c>
      <c r="E27" s="15" t="inlineStr">
        <is>
          <t>Ft / sheet</t>
        </is>
      </c>
      <c r="F27" s="15" t="inlineStr">
        <is>
          <t>RAW sheets</t>
        </is>
      </c>
      <c r="G27" s="15" t="inlineStr">
        <is>
          <t>Sheets</t>
        </is>
      </c>
    </row>
    <row r="28">
      <c r="A28" t="inlineStr">
        <is>
          <t>Wall 1</t>
        </is>
      </c>
      <c r="B28" s="14" t="n"/>
      <c r="C28" s="14" t="n"/>
      <c r="D28" s="6">
        <f>IFERROR(IF(UPPER($B$25)&lt;&gt;"Y","",IF($C$28="","",ROUNDDOWN(48/N($C$28),0))),"")</f>
        <v/>
      </c>
      <c r="E28" s="6">
        <f>IFERROR(IF(UPPER($B$25)&lt;&gt;"Y","",IF($D$28="","",N($D$28)*10)),"")</f>
        <v/>
      </c>
      <c r="F28" s="6">
        <f>IFERROR(IF(UPPER($B$25)&lt;&gt;"Y","",IF(OR($B$28="",$E$28="",N($E$28)=0),"",N($B$28)/N($E$28))),"")</f>
        <v/>
      </c>
      <c r="G28" s="6">
        <f>IFERROR(IF(UPPER($B$25)&lt;&gt;"Y","",IF($F$28="","",ROUNDUP($F$28,0))),"")</f>
        <v/>
      </c>
    </row>
    <row r="29">
      <c r="A29" t="inlineStr">
        <is>
          <t>Wall 2</t>
        </is>
      </c>
      <c r="B29" s="14" t="n"/>
      <c r="C29" s="14" t="n"/>
      <c r="D29" s="6">
        <f>IFERROR(IF(UPPER($B$25)&lt;&gt;"Y","",IF($C$29="","",ROUNDDOWN(48/N($C$29),0))),"")</f>
        <v/>
      </c>
      <c r="E29" s="6">
        <f>IFERROR(IF(UPPER($B$25)&lt;&gt;"Y","",IF($D$29="","",N($D$29)*10)),"")</f>
        <v/>
      </c>
      <c r="F29" s="6">
        <f>IFERROR(IF(UPPER($B$25)&lt;&gt;"Y","",IF(OR($B$29="",$E$29="",N($E$29)=0),"",N($B$29)/N($E$29))),"")</f>
        <v/>
      </c>
      <c r="G29" s="6">
        <f>IFERROR(IF(UPPER($B$25)&lt;&gt;"Y","",IF($F$29="","",ROUNDUP($F$29,0))),"")</f>
        <v/>
      </c>
    </row>
    <row r="30">
      <c r="A30" t="inlineStr">
        <is>
          <t>Wall 3</t>
        </is>
      </c>
      <c r="B30" s="14" t="n"/>
      <c r="C30" s="14" t="n"/>
      <c r="D30" s="6">
        <f>IFERROR(IF(UPPER($B$25)&lt;&gt;"Y","",IF($C$30="","",ROUNDDOWN(48/N($C$30),0))),"")</f>
        <v/>
      </c>
      <c r="E30" s="6">
        <f>IFERROR(IF(UPPER($B$25)&lt;&gt;"Y","",IF($D$30="","",N($D$30)*10)),"")</f>
        <v/>
      </c>
      <c r="F30" s="6">
        <f>IFERROR(IF(UPPER($B$25)&lt;&gt;"Y","",IF(OR($B$30="",$E$30="",N($E$30)=0),"",N($B$30)/N($E$30))),"")</f>
        <v/>
      </c>
      <c r="G30" s="6">
        <f>IFERROR(IF(UPPER($B$25)&lt;&gt;"Y","",IF($F$30="","",ROUNDUP($F$30,0))),"")</f>
        <v/>
      </c>
    </row>
    <row r="31">
      <c r="A31" t="inlineStr">
        <is>
          <t>Wall 4</t>
        </is>
      </c>
      <c r="B31" s="14" t="n"/>
      <c r="C31" s="14" t="n"/>
      <c r="D31" s="6">
        <f>IFERROR(IF(UPPER($B$25)&lt;&gt;"Y","",IF($C$31="","",ROUNDDOWN(48/N($C$31),0))),"")</f>
        <v/>
      </c>
      <c r="E31" s="6">
        <f>IFERROR(IF(UPPER($B$25)&lt;&gt;"Y","",IF($D$31="","",N($D$31)*10)),"")</f>
        <v/>
      </c>
      <c r="F31" s="6">
        <f>IFERROR(IF(UPPER($B$25)&lt;&gt;"Y","",IF(OR($B$31="",$E$31="",N($E$31)=0),"",N($B$31)/N($E$31))),"")</f>
        <v/>
      </c>
      <c r="G31" s="6">
        <f>IFERROR(IF(UPPER($B$25)&lt;&gt;"Y","",IF($F$31="","",ROUNDUP($F$31,0))),"")</f>
        <v/>
      </c>
    </row>
    <row r="32">
      <c r="A32" t="inlineStr">
        <is>
          <t>Wall 5</t>
        </is>
      </c>
      <c r="B32" s="14" t="n"/>
      <c r="C32" s="14" t="n"/>
      <c r="D32" s="6">
        <f>IFERROR(IF(UPPER($B$25)&lt;&gt;"Y","",IF($C$32="","",ROUNDDOWN(48/N($C$32),0))),"")</f>
        <v/>
      </c>
      <c r="E32" s="6">
        <f>IFERROR(IF(UPPER($B$25)&lt;&gt;"Y","",IF($D$32="","",N($D$32)*10)),"")</f>
        <v/>
      </c>
      <c r="F32" s="6">
        <f>IFERROR(IF(UPPER($B$25)&lt;&gt;"Y","",IF(OR($B$32="",$E$32="",N($E$32)=0),"",N($B$32)/N($E$32))),"")</f>
        <v/>
      </c>
      <c r="G32" s="6">
        <f>IFERROR(IF(UPPER($B$25)&lt;&gt;"Y","",IF($F$32="","",ROUNDUP($F$32,0))),"")</f>
        <v/>
      </c>
    </row>
    <row r="33">
      <c r="A33" t="inlineStr">
        <is>
          <t>Wall 6</t>
        </is>
      </c>
      <c r="B33" s="14" t="n"/>
      <c r="C33" s="14" t="n"/>
      <c r="D33" s="6">
        <f>IFERROR(IF(UPPER($B$25)&lt;&gt;"Y","",IF($C$33="","",ROUNDDOWN(48/N($C$33),0))),"")</f>
        <v/>
      </c>
      <c r="E33" s="6">
        <f>IFERROR(IF(UPPER($B$25)&lt;&gt;"Y","",IF($D$33="","",N($D$33)*10)),"")</f>
        <v/>
      </c>
      <c r="F33" s="6">
        <f>IFERROR(IF(UPPER($B$25)&lt;&gt;"Y","",IF(OR($B$33="",$E$33="",N($E$33)=0),"",N($B$33)/N($E$33))),"")</f>
        <v/>
      </c>
      <c r="G33" s="6">
        <f>IFERROR(IF(UPPER($B$25)&lt;&gt;"Y","",IF($F$33="","",ROUNDUP($F$33,0))),"")</f>
        <v/>
      </c>
    </row>
    <row r="34">
      <c r="A34" t="inlineStr">
        <is>
          <t>Wall 7</t>
        </is>
      </c>
      <c r="B34" s="14" t="n"/>
      <c r="C34" s="14" t="n"/>
      <c r="D34" s="6">
        <f>IFERROR(IF(UPPER($B$25)&lt;&gt;"Y","",IF($C$34="","",ROUNDDOWN(48/N($C$34),0))),"")</f>
        <v/>
      </c>
      <c r="E34" s="6">
        <f>IFERROR(IF(UPPER($B$25)&lt;&gt;"Y","",IF($D$34="","",N($D$34)*10)),"")</f>
        <v/>
      </c>
      <c r="F34" s="6">
        <f>IFERROR(IF(UPPER($B$25)&lt;&gt;"Y","",IF(OR($B$34="",$E$34="",N($E$34)=0),"",N($B$34)/N($E$34))),"")</f>
        <v/>
      </c>
      <c r="G34" s="6">
        <f>IFERROR(IF(UPPER($B$25)&lt;&gt;"Y","",IF($F$34="","",ROUNDUP($F$34,0))),"")</f>
        <v/>
      </c>
    </row>
    <row r="35">
      <c r="A35" t="inlineStr">
        <is>
          <t>Wall 8</t>
        </is>
      </c>
      <c r="B35" s="14" t="n"/>
      <c r="C35" s="14" t="n"/>
      <c r="D35" s="6">
        <f>IFERROR(IF(UPPER($B$25)&lt;&gt;"Y","",IF($C$35="","",ROUNDDOWN(48/N($C$35),0))),"")</f>
        <v/>
      </c>
      <c r="E35" s="6">
        <f>IFERROR(IF(UPPER($B$25)&lt;&gt;"Y","",IF($D$35="","",N($D$35)*10)),"")</f>
        <v/>
      </c>
      <c r="F35" s="6">
        <f>IFERROR(IF(UPPER($B$25)&lt;&gt;"Y","",IF(OR($B$35="",$E$35="",N($E$35)=0),"",N($B$35)/N($E$35))),"")</f>
        <v/>
      </c>
      <c r="G35" s="6">
        <f>IFERROR(IF(UPPER($B$25)&lt;&gt;"Y","",IF($F$35="","",ROUNDUP($F$35,0))),"")</f>
        <v/>
      </c>
    </row>
    <row r="36">
      <c r="A36" s="16" t="inlineStr">
        <is>
          <t>TOTAL</t>
        </is>
      </c>
      <c r="B36" s="8">
        <f>IFERROR(IF(COUNT($C$28:$C$35)=0,"",SUMIF($C$28:$C$35,"&lt;&gt;",$B$28:$B$35)),"")</f>
        <v/>
      </c>
      <c r="F36" s="8">
        <f>IFERROR(IF(COUNT($F$28:$F$35)=0,"",SUM($F$28:$F$35)),"")</f>
        <v/>
      </c>
      <c r="G36" s="8">
        <f>IFERROR(IF(OR(UPPER($B$25)&lt;&gt;"Y",COUNT($G$28:$G$35)=0),"",SUM($G$28:$G$35)),"")</f>
        <v/>
      </c>
    </row>
    <row r="37" ht="30" customHeight="1">
      <c r="A37" s="17" t="inlineStr">
        <is>
          <t>48 ÷ stretch-out = strips across (round DOWN) · x 10 = ft per sheet · LF ÷ that = sheets (round UP). LF counts only rows with a stretch-out. Rows line up with Wall 1–8 on the Walls page.</t>
        </is>
      </c>
    </row>
    <row r="38">
      <c r="A38" t="inlineStr">
        <is>
          <t>Takeoff LF vs this table</t>
        </is>
      </c>
      <c r="B38" s="16">
        <f>IFERROR(IF(OR($B$26="",ROUND(N($B$26)-N($B$36),2)=0),"OK","CHECK"),"CHECK")</f>
        <v/>
      </c>
      <c r="J38" s="3" t="inlineStr">
        <is>
          <t>OK when the two agree (or no takeoff LF typed)</t>
        </is>
      </c>
    </row>
    <row r="39">
      <c r="A39" s="10" t="inlineStr">
        <is>
          <t>CLEAT  —  its own metal, its own stretch-out, its own sheets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t="inlineStr">
        <is>
          <t>Cleat?</t>
        </is>
      </c>
      <c r="B40" s="14" t="n"/>
      <c r="C40" t="inlineStr">
        <is>
          <t>Y / N</t>
        </is>
      </c>
      <c r="J40" s="3" t="inlineStr">
        <is>
          <t>needs a cleat at a face over 3½″</t>
        </is>
      </c>
    </row>
    <row r="41">
      <c r="A41" t="inlineStr">
        <is>
          <t>Cleat stretch-out</t>
        </is>
      </c>
      <c r="B41" s="14" t="n"/>
      <c r="C41" t="inlineStr">
        <is>
          <t>in</t>
        </is>
      </c>
      <c r="J41" s="3" t="inlineStr">
        <is>
          <t>asked fresh every job</t>
        </is>
      </c>
    </row>
    <row r="42">
      <c r="A42" t="inlineStr">
        <is>
          <t>Cleat ft / sheet</t>
        </is>
      </c>
      <c r="B42" s="6">
        <f>IFERROR(IF($B$41="","",ROUNDDOWN(48/N($B$41),0)*10),"")</f>
        <v/>
      </c>
      <c r="C42" t="inlineStr">
        <is>
          <t>ft</t>
        </is>
      </c>
      <c r="J42" s="3" t="inlineStr"/>
    </row>
    <row r="43">
      <c r="A43" t="inlineStr">
        <is>
          <t>Cleat sheets</t>
        </is>
      </c>
      <c r="B43" s="6">
        <f>IFERROR(IF(UPPER($B$25)&lt;&gt;"Y","",IF(OR(UPPER($B$40)&lt;&gt;"Y",$B$42="",N($B$42)=0),"",ROUNDUP(N($B$36)/N($B$42),0))),"")</f>
        <v/>
      </c>
      <c r="C43" t="inlineStr">
        <is>
          <t>sheet</t>
        </is>
      </c>
      <c r="J43" s="3" t="inlineStr">
        <is>
          <t>blanks out if the piece is prefab</t>
        </is>
      </c>
    </row>
    <row r="44">
      <c r="A44" s="4" t="inlineStr">
        <is>
          <t>Item</t>
        </is>
      </c>
      <c r="B44" s="4" t="inlineStr">
        <is>
          <t>Driver</t>
        </is>
      </c>
      <c r="C44" s="4" t="inlineStr">
        <is>
          <t>Unit</t>
        </is>
      </c>
      <c r="D44" s="4" t="inlineStr">
        <is>
          <t>Factor</t>
        </is>
      </c>
      <c r="E44" s="4" t="inlineStr">
        <is>
          <t>RAW</t>
        </is>
      </c>
      <c r="F44" s="4" t="inlineStr">
        <is>
          <t>QTY</t>
        </is>
      </c>
      <c r="G44" s="4" t="inlineStr">
        <is>
          <t>Pkg</t>
        </is>
      </c>
      <c r="H44" s="4" t="inlineStr">
        <is>
          <t>$ each</t>
        </is>
      </c>
      <c r="I44" s="4" t="inlineStr">
        <is>
          <t>Line $</t>
        </is>
      </c>
      <c r="J44" s="4" t="inlineStr">
        <is>
          <t>How it is figured</t>
        </is>
      </c>
    </row>
    <row r="45">
      <c r="A45" t="inlineStr">
        <is>
          <t>Counter flashing metal</t>
        </is>
      </c>
      <c r="B45" s="6">
        <f>$B$36</f>
        <v/>
      </c>
      <c r="C45" t="inlineStr">
        <is>
          <t>LF</t>
        </is>
      </c>
      <c r="E45" s="18">
        <f>IFERROR(IF(UPPER($B$25)&lt;&gt;"Y","",$F$36),"")</f>
        <v/>
      </c>
      <c r="F45" s="16">
        <f>IFERROR(IF(UPPER($B$25)&lt;&gt;"Y","",$G$36),"")</f>
        <v/>
      </c>
      <c r="G45" t="inlineStr">
        <is>
          <t>sheet</t>
        </is>
      </c>
      <c r="H45" s="19" t="n"/>
      <c r="I45" s="20">
        <f>IFERROR(IF(OR(F45="",H45=""),"",N(F45)*N(H45)),"")</f>
        <v/>
      </c>
      <c r="J45" s="3">
        <f>"Fabricate: "&amp;TEXT(N($G$36),"0")&amp;" sheets (each wall rounds up on its own)"</f>
        <v/>
      </c>
    </row>
    <row r="46">
      <c r="A46" t="inlineStr">
        <is>
          <t>Counter flashing metal  —  prefab, per LF</t>
        </is>
      </c>
      <c r="B46" s="6">
        <f>$B$36</f>
        <v/>
      </c>
      <c r="C46" t="inlineStr">
        <is>
          <t>LF</t>
        </is>
      </c>
      <c r="E46" s="18">
        <f>IFERROR(IF(UPPER($B$25)="Y","",N($B$36)),"")</f>
        <v/>
      </c>
      <c r="F46" s="16">
        <f>IFERROR(IF(UPPER($B$25)="Y","",N($B$36)),"")</f>
        <v/>
      </c>
      <c r="G46" t="inlineStr">
        <is>
          <t>LF</t>
        </is>
      </c>
      <c r="H46" s="19" t="n"/>
      <c r="I46" s="20">
        <f>IFERROR(IF(OR(F46="",H46=""),"",N(F46)*N(H46)),"")</f>
        <v/>
      </c>
      <c r="J46" s="3" t="inlineStr">
        <is>
          <t>only when Fabricate = N — bought by the foot</t>
        </is>
      </c>
    </row>
    <row r="47">
      <c r="A47" t="inlineStr">
        <is>
          <t>Counter flashing cleat</t>
        </is>
      </c>
      <c r="B47" s="6">
        <f>$B$43</f>
        <v/>
      </c>
      <c r="C47" t="inlineStr">
        <is>
          <t>sheet</t>
        </is>
      </c>
      <c r="E47" s="18">
        <f>IFERROR(IF($B$43="","",N($B$43)),"")</f>
        <v/>
      </c>
      <c r="F47" s="16">
        <f>IFERROR(IF(E47="","",ROUNDUP(E47,0)),"")</f>
        <v/>
      </c>
      <c r="G47" t="inlineStr">
        <is>
          <t>sheet</t>
        </is>
      </c>
      <c r="H47" s="19" t="n">
        <v>58.5</v>
      </c>
      <c r="I47" s="20">
        <f>IFERROR(IF(OR(F47="",H47=""),"",N(F47)*N(H47)),"")</f>
        <v/>
      </c>
      <c r="J47" s="3" t="inlineStr">
        <is>
          <t>cleat sheets   ·   MAJ G90 20GA GALVANIZED 4 x 10 — QXO MAJ20G90</t>
        </is>
      </c>
    </row>
    <row r="48">
      <c r="A48" s="4" t="inlineStr">
        <is>
          <t>TRADE</t>
        </is>
      </c>
      <c r="B48" s="4" t="inlineStr">
        <is>
          <t>MEN</t>
        </is>
      </c>
      <c r="C48" s="4" t="inlineStr">
        <is>
          <t>PER DAY  /  $ EACH</t>
        </is>
      </c>
      <c r="D48" s="4" t="inlineStr">
        <is>
          <t>QTY</t>
        </is>
      </c>
      <c r="E48" s="4" t="inlineStr">
        <is>
          <t>UNIT</t>
        </is>
      </c>
      <c r="F48" s="4" t="inlineStr">
        <is>
          <t>DAYS</t>
        </is>
      </c>
      <c r="G48" s="4" t="inlineStr">
        <is>
          <t>LABOR $</t>
        </is>
      </c>
      <c r="H48" s="4" t="inlineStr">
        <is>
          <t>PER DIEM</t>
        </is>
      </c>
      <c r="I48" s="4" t="inlineStr">
        <is>
          <t>HOTEL</t>
        </is>
      </c>
      <c r="J48" s="4" t="inlineStr">
        <is>
          <t>TRAVEL MKUP</t>
        </is>
      </c>
    </row>
    <row r="49">
      <c r="A49" t="inlineStr">
        <is>
          <t>Counter flashing</t>
        </is>
      </c>
      <c r="B49" s="14" t="n"/>
      <c r="C49" s="14" t="n"/>
      <c r="D49" s="21">
        <f>$B$36</f>
        <v/>
      </c>
      <c r="E49" t="inlineStr">
        <is>
          <t>LF</t>
        </is>
      </c>
      <c r="F49" s="22">
        <f>IFERROR(IF(N(C49)=0,"",N(D49)/N(C49)),"")</f>
        <v/>
      </c>
      <c r="G49" s="20">
        <f>IFERROR(IF(OR(N(F49)=0,N(B49)=0),"",N(F49)*N(B49)*IFERROR(N($B$17)/N($B$18),0)),"")</f>
        <v/>
      </c>
      <c r="H49" s="20">
        <f>IFERROR(IF(OR(N(B49)=0,N(F49)=0),"",N(B49)*N(F49)*N($B$20)*IF(UPPER($B$19)="Y",1,0)),"")</f>
        <v/>
      </c>
      <c r="I49" s="20">
        <f>IFERROR(IF(OR(N(B49)=0,N(F49)=0),"",ROUNDUP(N(B49)/2,0)*N(F49)*N($B$21)*IF(UPPER($B$19)="Y",1,0)),"")</f>
        <v/>
      </c>
      <c r="J49" s="20">
        <f>IFERROR((N(H49)+N(I49))*N($B$22),"")</f>
        <v/>
      </c>
    </row>
    <row r="50">
      <c r="A50" t="inlineStr">
        <is>
          <t>Counter flashing cleat</t>
        </is>
      </c>
      <c r="B50" s="14" t="n"/>
      <c r="C50" s="14" t="n"/>
      <c r="D50" s="21">
        <f>IFERROR(IF(N($B$43)=0,"",$B$36),"")</f>
        <v/>
      </c>
      <c r="E50" t="inlineStr">
        <is>
          <t>LF</t>
        </is>
      </c>
      <c r="F50" s="22">
        <f>IFERROR(IF(N(C50)=0,"",N(D50)/N(C50)),"")</f>
        <v/>
      </c>
      <c r="G50" s="20">
        <f>IFERROR(IF(OR(N(F50)=0,N(B50)=0),"",N(F50)*N(B50)*IFERROR(N($B$17)/N($B$18),0)),"")</f>
        <v/>
      </c>
      <c r="H50" s="20">
        <f>IFERROR(IF(OR(N(B50)=0,N(F50)=0),"",N(B50)*N(F50)*N($B$20)*IF(UPPER($B$19)="Y",1,0)),"")</f>
        <v/>
      </c>
      <c r="I50" s="20">
        <f>IFERROR(IF(OR(N(B50)=0,N(F50)=0),"",ROUNDUP(N(B50)/2,0)*N(F50)*N($B$21)*IF(UPPER($B$19)="Y",1,0)),"")</f>
        <v/>
      </c>
      <c r="J50" s="20">
        <f>IFERROR((N(H50)+N(I50))*N($B$22),"")</f>
        <v/>
      </c>
    </row>
    <row r="51">
      <c r="A51" t="inlineStr">
        <is>
          <t>Shop fabrication — flat metal</t>
        </is>
      </c>
      <c r="B51" s="23" t="n"/>
      <c r="C51" s="24">
        <f>$B$23</f>
        <v/>
      </c>
      <c r="D51" s="21">
        <f>N($G$36)+N($B$43)</f>
        <v/>
      </c>
      <c r="E51" t="inlineStr">
        <is>
          <t>sheet</t>
        </is>
      </c>
      <c r="G51" s="20">
        <f>IFERROR(IF(OR(N(D51)=0,N(C51)=0),"",N(D51)*N(C51)),"")</f>
        <v/>
      </c>
    </row>
  </sheetData>
  <mergeCells count="4">
    <mergeCell ref="A1:J1"/>
    <mergeCell ref="A37:J37"/>
    <mergeCell ref="A3:J3"/>
    <mergeCell ref="A2:J2"/>
  </mergeCells>
  <pageMargins left="0.75" right="0.75" top="1" bottom="1" header="0.5" footer="0.5"/>
  <pageSetup orientation="landscape" fitToHeight="0" fitToWidth="1"/>
</worksheet>
</file>