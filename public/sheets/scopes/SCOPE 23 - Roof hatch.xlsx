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f h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1" pivotButton="0" quotePrefix="0" xfId="0"/>
    <xf numFmtId="0" fontId="7" fillId="5" borderId="0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ROOF HATCH ASSEMBLY  —  hatch, safety post and railing are three separate buys</t>
        </is>
      </c>
    </row>
    <row r="2" ht="44" customHeight="1">
      <c r="A2" s="2" t="inlineStr">
        <is>
          <t>Price here is BRAND and SIZE driven — a Bilco is not a Babcock-Davis, and 30x36 is not 48x48. If the GC changes the hatch, only the price cells move.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N(I20)+N(I21)+N(I22)+N(I23)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0</f>
        <v/>
      </c>
    </row>
    <row r="11">
      <c r="A11" s="6" t="inlineStr">
        <is>
          <t>Travel  (per diem + hotels + travel markup)</t>
        </is>
      </c>
      <c r="B11" s="7">
        <f>0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8">
      <c r="A18" t="inlineStr">
        <is>
          <t>Roof hatches</t>
        </is>
      </c>
      <c r="B18" s="13" t="n"/>
      <c r="C18" t="inlineStr">
        <is>
          <t>ea</t>
        </is>
      </c>
      <c r="J18" s="3" t="inlineStr"/>
    </row>
    <row r="19">
      <c r="A19" s="4" t="inlineStr">
        <is>
          <t>Item</t>
        </is>
      </c>
      <c r="B19" s="4" t="inlineStr">
        <is>
          <t>Driver</t>
        </is>
      </c>
      <c r="C19" s="4" t="inlineStr">
        <is>
          <t>Unit</t>
        </is>
      </c>
      <c r="D19" s="4" t="inlineStr">
        <is>
          <t>Per hatch</t>
        </is>
      </c>
      <c r="E19" s="4" t="inlineStr">
        <is>
          <t>RAW</t>
        </is>
      </c>
      <c r="F19" s="4" t="inlineStr">
        <is>
          <t>QTY</t>
        </is>
      </c>
      <c r="G19" s="4" t="inlineStr">
        <is>
          <t>Pkg</t>
        </is>
      </c>
      <c r="H19" s="4" t="inlineStr">
        <is>
          <t>$ each</t>
        </is>
      </c>
      <c r="I19" s="4" t="inlineStr">
        <is>
          <t>Line $</t>
        </is>
      </c>
      <c r="J19" s="4" t="inlineStr">
        <is>
          <t>How it is figured</t>
        </is>
      </c>
    </row>
    <row r="20">
      <c r="A20" t="inlineStr">
        <is>
          <t>Roof hatch</t>
        </is>
      </c>
      <c r="B20" s="6">
        <f>$B$18</f>
        <v/>
      </c>
      <c r="C20" t="inlineStr">
        <is>
          <t>hatch</t>
        </is>
      </c>
      <c r="D20" s="14" t="n">
        <v>1</v>
      </c>
      <c r="E20" s="15">
        <f>IFERROR(IF(OR(B20="",D20=""),"",N(B20)*N(D20)),"")</f>
        <v/>
      </c>
      <c r="F20" s="16">
        <f>IFERROR(IF(E20="","",ROUNDUP(E20,0)),"")</f>
        <v/>
      </c>
      <c r="G20" t="inlineStr">
        <is>
          <t>ea</t>
        </is>
      </c>
      <c r="H20" s="17" t="n">
        <v>850</v>
      </c>
      <c r="I20" s="18">
        <f>IFERROR(IF(OR(F20="",H20=""),"",N(F20)*N(H20)),"")</f>
        <v/>
      </c>
      <c r="J20" s="3" t="inlineStr">
        <is>
          <t>one hatch per opening   ·   TRI-BUILT Roof Hatch Galvanized 36 x 30  ·  SKU TRIRHG3630  (TBG3036)  ·  1 pc</t>
        </is>
      </c>
    </row>
    <row r="21">
      <c r="A21" t="inlineStr">
        <is>
          <t>Safety ladder-up post</t>
        </is>
      </c>
      <c r="B21" s="6">
        <f>$B$18</f>
        <v/>
      </c>
      <c r="C21" t="inlineStr">
        <is>
          <t>hatch</t>
        </is>
      </c>
      <c r="D21" s="14" t="n">
        <v>1</v>
      </c>
      <c r="E21" s="15">
        <f>IFERROR(IF(OR(B21="",D21=""),"",N(B21)*N(D21)),"")</f>
        <v/>
      </c>
      <c r="F21" s="16">
        <f>IFERROR(IF(E21="","",ROUNDUP(E21,0)),"")</f>
        <v/>
      </c>
      <c r="G21" t="inlineStr">
        <is>
          <t>ea</t>
        </is>
      </c>
      <c r="H21" s="17" t="n"/>
      <c r="I21" s="18">
        <f>IFERROR(IF(OR(F21="",H21=""),"",N(F21)*N(H21)),"")</f>
        <v/>
      </c>
      <c r="J21" s="3" t="inlineStr">
        <is>
          <t>almost always required — set to 0 if the spec does not call for it</t>
        </is>
      </c>
    </row>
    <row r="22">
      <c r="A22" t="inlineStr">
        <is>
          <t>Railing / guardrail set</t>
        </is>
      </c>
      <c r="B22" s="6">
        <f>$B$18</f>
        <v/>
      </c>
      <c r="C22" t="inlineStr">
        <is>
          <t>hatch</t>
        </is>
      </c>
      <c r="E22" s="15">
        <f>IFERROR(IF(OR(B22="",D22=""),"",N(B22)*N(D22)),"")</f>
        <v/>
      </c>
      <c r="F22" s="16">
        <f>IFERROR(IF(E22="","",ROUNDUP(E22,0)),"")</f>
        <v/>
      </c>
      <c r="G22" t="inlineStr">
        <is>
          <t>ea</t>
        </is>
      </c>
      <c r="H22" s="17" t="n"/>
      <c r="I22" s="18">
        <f>IFERROR(IF(OR(F22="",H22=""),"",N(F22)*N(H22)),"")</f>
        <v/>
      </c>
      <c r="J22" s="3" t="inlineStr">
        <is>
          <t>NOT always required — set to 1 per hatch when the spec calls for it</t>
        </is>
      </c>
    </row>
    <row r="23">
      <c r="A23" t="inlineStr">
        <is>
          <t>Backer rod</t>
        </is>
      </c>
      <c r="B23" s="6">
        <f>$B$18</f>
        <v/>
      </c>
      <c r="C23" t="inlineStr">
        <is>
          <t>hatch</t>
        </is>
      </c>
      <c r="D23" s="14" t="n">
        <v>1</v>
      </c>
      <c r="E23" s="15">
        <f>IFERROR(IF(OR(B23="",D23="",N(D23)=0),"",N(B23)/N(D23)),"")</f>
        <v/>
      </c>
      <c r="F23" s="16">
        <f>IFERROR(IF(E23="","",ROUNDUP(E23,0)),"")</f>
        <v/>
      </c>
      <c r="G23" t="inlineStr">
        <is>
          <t>bag</t>
        </is>
      </c>
      <c r="H23" s="17" t="n">
        <v>4</v>
      </c>
      <c r="I23" s="18">
        <f>IFERROR(IF(OR(F23="",H23=""),"",N(F23)*N(H23)),"")</f>
        <v/>
      </c>
      <c r="J23" s="3" t="inlineStr">
        <is>
          <t>one bag per roof hatch   ·   Backer rod  —  20 ft bag</t>
        </is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