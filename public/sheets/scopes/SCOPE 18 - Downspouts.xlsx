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sp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1F4FD8"/>
      <sz val="10"/>
    </font>
    <font>
      <name val="Arial"/>
      <color rgb="00C00000"/>
      <sz val="10"/>
    </font>
    <font>
      <name val="Arial"/>
      <color rgb="001E7B34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EEF4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6" borderId="0" pivotButton="0" quotePrefix="0" xfId="0"/>
    <xf numFmtId="164" fontId="6" fillId="6" borderId="0" pivotButton="0" quotePrefix="0" xfId="0"/>
    <xf numFmtId="0" fontId="6" fillId="4" borderId="0" pivotButton="0" quotePrefix="0" xfId="0"/>
    <xf numFmtId="0" fontId="0" fillId="4" borderId="0" pivotButton="0" quotePrefix="0" xfId="0"/>
    <xf numFmtId="10" fontId="7" fillId="5" borderId="0" pivotButton="0" quotePrefix="0" xfId="0"/>
    <xf numFmtId="0" fontId="7" fillId="5" borderId="0" pivotButton="0" quotePrefix="0" xfId="0"/>
    <xf numFmtId="0" fontId="7" fillId="5" borderId="1" pivotButton="0" quotePrefix="0" xfId="0"/>
    <xf numFmtId="4" fontId="8" fillId="0" borderId="0" pivotButton="0" quotePrefix="0" xfId="0"/>
    <xf numFmtId="0" fontId="6" fillId="0" borderId="0" pivotButton="0" quotePrefix="0" xfId="0"/>
    <xf numFmtId="164" fontId="7" fillId="5" borderId="0" pivotButton="0" quotePrefix="0" xfId="0"/>
    <xf numFmtId="164" fontId="0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1" pivotButton="0" quotePrefix="0" xfId="0"/>
    <xf numFmtId="164" fontId="9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1" customWidth="1" min="4" max="4"/>
    <col width="12" customWidth="1" min="5" max="5"/>
    <col width="11" customWidth="1" min="6" max="6"/>
    <col width="9" customWidth="1" min="7" max="7"/>
    <col width="12" customWidth="1" min="8" max="8"/>
    <col width="14" customWidth="1" min="9" max="9"/>
    <col width="70" customWidth="1" min="10" max="10"/>
  </cols>
  <sheetData>
    <row r="1" ht="24" customHeight="1">
      <c r="A1" s="1" t="inlineStr">
        <is>
          <t>DOWNSPOUTS</t>
        </is>
      </c>
    </row>
    <row r="2" ht="44" customHeight="1">
      <c r="A2" s="2" t="inlineStr">
        <is>
          <t>Straight from the takeoff, one line. Add a row only if a job runs two different profiles.</t>
        </is>
      </c>
    </row>
    <row r="3">
      <c r="A3" s="3" t="inlineStr">
        <is>
          <t>Came from: 03 TPO MA ISO + MA TPO — NEW CONSTRUCTION (10/8/26).   Blue = type here · green = reads another page · black = locked formula · red = RAW before rounding.</t>
        </is>
      </c>
    </row>
    <row r="5">
      <c r="A5" s="4" t="inlineStr">
        <is>
          <t>THIS SCOPE  —  WHAT IT ADDS TO THE BID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inlineStr">
        <is>
          <t>Materials  (before tax)</t>
        </is>
      </c>
      <c r="B6" s="7">
        <f>N(I31)+N(I32)</f>
        <v/>
      </c>
      <c r="J6" s="3" t="inlineStr">
        <is>
          <t>every priced line on this page added up — the line $ column</t>
        </is>
      </c>
    </row>
    <row r="7">
      <c r="A7" s="6" t="inlineStr">
        <is>
          <t>Sales tax  (material only)</t>
        </is>
      </c>
      <c r="B7" s="7">
        <f>N(B6)*N($B$15)</f>
        <v/>
      </c>
    </row>
    <row r="8">
      <c r="A8" s="6" t="inlineStr">
        <is>
          <t>Material markup</t>
        </is>
      </c>
      <c r="B8" s="7">
        <f>(N(B6)+N(B7))*N($B$16)</f>
        <v/>
      </c>
      <c r="J8" s="3" t="inlineStr">
        <is>
          <t>materials w/ tax x material markup — all-in items left out</t>
        </is>
      </c>
    </row>
    <row r="9">
      <c r="A9" s="6" t="inlineStr">
        <is>
          <t>All-in items  (never taxed, never marked up)</t>
        </is>
      </c>
      <c r="B9" s="7">
        <f>0</f>
        <v/>
      </c>
    </row>
    <row r="10">
      <c r="A10" s="6" t="inlineStr">
        <is>
          <t>Labor</t>
        </is>
      </c>
      <c r="B10" s="7">
        <f>N(G34)+N(G35)</f>
        <v/>
      </c>
    </row>
    <row r="11">
      <c r="A11" s="6" t="inlineStr">
        <is>
          <t>Travel  (per diem + hotels + travel markup)</t>
        </is>
      </c>
      <c r="B11" s="7">
        <f>N(H34)+N(I34)+N(J34)+N(H35)+N(I35)+N(J35)</f>
        <v/>
      </c>
    </row>
    <row r="12">
      <c r="A12" s="8" t="inlineStr">
        <is>
          <t>SCOPE TOTAL</t>
        </is>
      </c>
      <c r="B12" s="9">
        <f>N(B6)+N(B7)+N(B8)+N(B9)+N(B10)+N(B11)</f>
        <v/>
      </c>
    </row>
    <row r="14">
      <c r="A14" s="10" t="inlineStr">
        <is>
          <t>RATES &amp; SETUP  —  on a full bid these come from the Job page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A15" t="inlineStr">
        <is>
          <t>Sales tax  (material only)</t>
        </is>
      </c>
      <c r="B15" s="12" t="n">
        <v>0.0825</v>
      </c>
      <c r="C15" t="inlineStr">
        <is>
          <t>%</t>
        </is>
      </c>
      <c r="J15" s="3" t="inlineStr">
        <is>
          <t>8.25% — material only, never labor. Scuppers and collector heads are all-in and never taxed.</t>
        </is>
      </c>
    </row>
    <row r="16">
      <c r="A16" t="inlineStr">
        <is>
          <t>Material markup  %</t>
        </is>
      </c>
      <c r="B16" s="12" t="n"/>
      <c r="C16" t="inlineStr">
        <is>
          <t>%</t>
        </is>
      </c>
      <c r="J16" s="3" t="inlineStr">
        <is>
          <t>VARIABLE — set it on THIS job. Materials carry no markup until it is answered.</t>
        </is>
      </c>
    </row>
    <row r="17">
      <c r="A17" t="inlineStr">
        <is>
          <t>Wage per man / day</t>
        </is>
      </c>
      <c r="B17" s="13" t="n">
        <v>270</v>
      </c>
      <c r="C17" t="inlineStr">
        <is>
          <t>$</t>
        </is>
      </c>
      <c r="J17" s="3" t="inlineStr">
        <is>
          <t>what a man costs a day</t>
        </is>
      </c>
    </row>
    <row r="18">
      <c r="A18" t="inlineStr">
        <is>
          <t>Overhead margin</t>
        </is>
      </c>
      <c r="B18" s="13" t="n">
        <v>0.5</v>
      </c>
      <c r="C18" t="inlineStr"/>
      <c r="J18" s="3" t="inlineStr">
        <is>
          <t>a margin, so it DIVIDES: 270 ÷ 50% = 540 a man a day</t>
        </is>
      </c>
    </row>
    <row r="19">
      <c r="A19" t="inlineStr">
        <is>
          <t>OUT OF TOWN?</t>
        </is>
      </c>
      <c r="B19" s="13" t="inlineStr">
        <is>
          <t>N</t>
        </is>
      </c>
      <c r="C19" t="inlineStr">
        <is>
          <t>Y / N</t>
        </is>
      </c>
      <c r="J19" s="3" t="inlineStr">
        <is>
          <t>Y turns on per diem, hotels and the travel markup</t>
        </is>
      </c>
    </row>
    <row r="20">
      <c r="A20" t="inlineStr">
        <is>
          <t>Per diem $ / man / day</t>
        </is>
      </c>
      <c r="B20" s="13" t="n">
        <v>60</v>
      </c>
      <c r="C20" t="inlineStr">
        <is>
          <t>$</t>
        </is>
      </c>
      <c r="J20" s="3" t="inlineStr">
        <is>
          <t>only counts when OUT OF TOWN = Y</t>
        </is>
      </c>
    </row>
    <row r="21">
      <c r="A21" t="inlineStr">
        <is>
          <t>Hotel $ / room / night</t>
        </is>
      </c>
      <c r="B21" s="13" t="n">
        <v>150</v>
      </c>
      <c r="C21" t="inlineStr">
        <is>
          <t>$</t>
        </is>
      </c>
      <c r="J21" s="3" t="inlineStr">
        <is>
          <t>two men a room — only counts when OUT OF TOWN = Y</t>
        </is>
      </c>
    </row>
    <row r="22">
      <c r="A22" t="inlineStr">
        <is>
          <t>Travel markup</t>
        </is>
      </c>
      <c r="B22" s="12" t="n">
        <v>0.3</v>
      </c>
      <c r="C22" t="inlineStr">
        <is>
          <t>%</t>
        </is>
      </c>
      <c r="J22" s="3" t="inlineStr">
        <is>
          <t>on per diem + hotels</t>
        </is>
      </c>
    </row>
    <row r="23">
      <c r="A23" t="inlineStr">
        <is>
          <t>Shop fab  $ per sheet</t>
        </is>
      </c>
      <c r="B23" s="13" t="n">
        <v>40</v>
      </c>
      <c r="C23" t="inlineStr">
        <is>
          <t>$</t>
        </is>
      </c>
      <c r="J23" s="3" t="inlineStr">
        <is>
          <t>every sheet of flat metal gets $40 a sheet fab</t>
        </is>
      </c>
    </row>
    <row r="25">
      <c r="A25" t="inlineStr">
        <is>
          <t>LF</t>
        </is>
      </c>
      <c r="B25" s="14" t="n"/>
      <c r="C25" t="inlineStr">
        <is>
          <t>LF</t>
        </is>
      </c>
      <c r="J25" s="3" t="inlineStr"/>
    </row>
    <row r="26">
      <c r="A26" t="inlineStr">
        <is>
          <t>Stretch-out (in)</t>
        </is>
      </c>
      <c r="B26" s="14" t="n"/>
      <c r="C26" t="inlineStr">
        <is>
          <t>in</t>
        </is>
      </c>
      <c r="J26" s="3" t="inlineStr"/>
    </row>
    <row r="27">
      <c r="A27" t="inlineStr">
        <is>
          <t>Fabricate?</t>
        </is>
      </c>
      <c r="B27" s="14" t="inlineStr">
        <is>
          <t>Y</t>
        </is>
      </c>
      <c r="C27" t="inlineStr">
        <is>
          <t>Y / N</t>
        </is>
      </c>
      <c r="J27" s="3" t="inlineStr">
        <is>
          <t>if N — who supplies. Buys by the foot instead.</t>
        </is>
      </c>
    </row>
    <row r="28">
      <c r="A28" t="inlineStr">
        <is>
          <t>Strips</t>
        </is>
      </c>
      <c r="B28" s="6">
        <f>IFERROR(IF(UPPER($B$27)&lt;&gt;"Y","",IF($B$26="","",ROUNDDOWN(48/N($B$26),0))),"")</f>
        <v/>
      </c>
      <c r="C28" t="inlineStr"/>
      <c r="J28" s="3" t="inlineStr">
        <is>
          <t>48 ÷ stretch-out, round DOWN</t>
        </is>
      </c>
    </row>
    <row r="29">
      <c r="A29" t="inlineStr">
        <is>
          <t>Ft / sheet</t>
        </is>
      </c>
      <c r="B29" s="6">
        <f>IFERROR(IF(UPPER($B$27)&lt;&gt;"Y","",IF($B$28="","",N($B$28)*10)),"")</f>
        <v/>
      </c>
      <c r="C29" t="inlineStr">
        <is>
          <t>ft</t>
        </is>
      </c>
      <c r="J29" s="3" t="inlineStr">
        <is>
          <t>x 10</t>
        </is>
      </c>
    </row>
    <row r="30">
      <c r="A30" s="4" t="inlineStr">
        <is>
          <t>Item</t>
        </is>
      </c>
      <c r="B30" s="4" t="inlineStr">
        <is>
          <t>Driver</t>
        </is>
      </c>
      <c r="C30" s="4" t="inlineStr">
        <is>
          <t>Unit</t>
        </is>
      </c>
      <c r="D30" s="4" t="inlineStr">
        <is>
          <t>Factor</t>
        </is>
      </c>
      <c r="E30" s="4" t="inlineStr">
        <is>
          <t>RAW</t>
        </is>
      </c>
      <c r="F30" s="4" t="inlineStr">
        <is>
          <t>QTY</t>
        </is>
      </c>
      <c r="G30" s="4" t="inlineStr">
        <is>
          <t>Pkg</t>
        </is>
      </c>
      <c r="H30" s="4" t="inlineStr">
        <is>
          <t>$ each</t>
        </is>
      </c>
      <c r="I30" s="4" t="inlineStr">
        <is>
          <t>Line $</t>
        </is>
      </c>
      <c r="J30" s="4" t="inlineStr">
        <is>
          <t>How it is figured</t>
        </is>
      </c>
    </row>
    <row r="31">
      <c r="A31" t="inlineStr">
        <is>
          <t>Downspout metal</t>
        </is>
      </c>
      <c r="B31" s="6">
        <f>$B$25</f>
        <v/>
      </c>
      <c r="C31" t="inlineStr">
        <is>
          <t>LF</t>
        </is>
      </c>
      <c r="E31" s="15">
        <f>IFERROR(IF(UPPER($B$27)&lt;&gt;"Y","",IF(OR($B$25="",$B$29="",N($B$29)=0),"",N($B$25)/N($B$29))),"")</f>
        <v/>
      </c>
      <c r="F31" s="16">
        <f>IFERROR(IF(E31="","",ROUNDUP(E31,0)),"")</f>
        <v/>
      </c>
      <c r="G31" t="inlineStr">
        <is>
          <t>sheet</t>
        </is>
      </c>
      <c r="H31" s="17" t="n">
        <v>80</v>
      </c>
      <c r="I31" s="18">
        <f>IFERROR(IF(OR(F31="",H31=""),"",N(F31)*N(H31)),"")</f>
        <v/>
      </c>
      <c r="J31" s="3" t="inlineStr">
        <is>
          <t>LF ÷ ft per sheet, round UP   ·   24g Kynar flat  4 x 10</t>
        </is>
      </c>
    </row>
    <row r="32">
      <c r="A32" t="inlineStr">
        <is>
          <t>Downspout metal  —  prefab, per LF</t>
        </is>
      </c>
      <c r="B32" s="6">
        <f>$B$25</f>
        <v/>
      </c>
      <c r="C32" t="inlineStr">
        <is>
          <t>LF</t>
        </is>
      </c>
      <c r="E32" s="15">
        <f>IFERROR(IF(UPPER($B$27)="Y","",N($B$25)),"")</f>
        <v/>
      </c>
      <c r="F32" s="16">
        <f>IFERROR(IF(E32="","",ROUNDUP(E32,0)),"")</f>
        <v/>
      </c>
      <c r="G32" t="inlineStr">
        <is>
          <t>LF</t>
        </is>
      </c>
      <c r="H32" s="17" t="n"/>
      <c r="I32" s="18">
        <f>IFERROR(IF(OR(F32="",H32=""),"",N(F32)*N(H32)),"")</f>
        <v/>
      </c>
      <c r="J32" s="3" t="inlineStr">
        <is>
          <t>only when Fabricate = N — bought by the foot</t>
        </is>
      </c>
    </row>
    <row r="33">
      <c r="A33" s="4" t="inlineStr">
        <is>
          <t>TRADE</t>
        </is>
      </c>
      <c r="B33" s="4" t="inlineStr">
        <is>
          <t>MEN</t>
        </is>
      </c>
      <c r="C33" s="4" t="inlineStr">
        <is>
          <t>PER DAY  /  $ EACH</t>
        </is>
      </c>
      <c r="D33" s="4" t="inlineStr">
        <is>
          <t>QTY</t>
        </is>
      </c>
      <c r="E33" s="4" t="inlineStr">
        <is>
          <t>UNIT</t>
        </is>
      </c>
      <c r="F33" s="4" t="inlineStr">
        <is>
          <t>DAYS</t>
        </is>
      </c>
      <c r="G33" s="4" t="inlineStr">
        <is>
          <t>LABOR $</t>
        </is>
      </c>
      <c r="H33" s="4" t="inlineStr">
        <is>
          <t>PER DIEM</t>
        </is>
      </c>
      <c r="I33" s="4" t="inlineStr">
        <is>
          <t>HOTEL</t>
        </is>
      </c>
      <c r="J33" s="4" t="inlineStr">
        <is>
          <t>TRAVEL MKUP</t>
        </is>
      </c>
    </row>
    <row r="34">
      <c r="A34" t="inlineStr">
        <is>
          <t>Downspouts</t>
        </is>
      </c>
      <c r="B34" s="14" t="n"/>
      <c r="C34" s="14" t="n"/>
      <c r="D34" s="19">
        <f>$B$25</f>
        <v/>
      </c>
      <c r="E34" t="inlineStr">
        <is>
          <t>LF</t>
        </is>
      </c>
      <c r="F34" s="20">
        <f>IFERROR(IF(N(C34)=0,"",N(D34)/N(C34)),"")</f>
        <v/>
      </c>
      <c r="G34" s="18">
        <f>IFERROR(IF(OR(N(F34)=0,N(B34)=0),"",N(F34)*N(B34)*IFERROR(N($B$17)/N($B$18),0)),"")</f>
        <v/>
      </c>
      <c r="H34" s="18">
        <f>IFERROR(IF(OR(N(B34)=0,N(F34)=0),"",N(B34)*N(F34)*N($B$20)*IF(UPPER($B$19)="Y",1,0)),"")</f>
        <v/>
      </c>
      <c r="I34" s="18">
        <f>IFERROR(IF(OR(N(B34)=0,N(F34)=0),"",ROUNDUP(N(B34)/2,0)*N(F34)*N($B$21)*IF(UPPER($B$19)="Y",1,0)),"")</f>
        <v/>
      </c>
      <c r="J34" s="18">
        <f>IFERROR((N(H34)+N(I34))*N($B$22),"")</f>
        <v/>
      </c>
    </row>
    <row r="35">
      <c r="A35" t="inlineStr">
        <is>
          <t>Shop fabrication — flat metal</t>
        </is>
      </c>
      <c r="B35" s="21" t="n"/>
      <c r="C35" s="22">
        <f>$B$23</f>
        <v/>
      </c>
      <c r="D35" s="19">
        <f>$F$31</f>
        <v/>
      </c>
      <c r="E35" t="inlineStr">
        <is>
          <t>sheet</t>
        </is>
      </c>
      <c r="G35" s="18">
        <f>IFERROR(IF(OR(N(D35)=0,N(C35)=0),"",N(D35)*N(C35)),"")</f>
        <v/>
      </c>
    </row>
  </sheetData>
  <mergeCells count="3">
    <mergeCell ref="A1:J1"/>
    <mergeCell ref="A3:J3"/>
    <mergeCell ref="A2:J2"/>
  </mergeCells>
  <pageMargins left="0.75" right="0.75" top="1" bottom="1" header="0.5" footer="0.5"/>
  <pageSetup orientation="landscape" fitToHeight="0" fitToWidth="1"/>
</worksheet>
</file>