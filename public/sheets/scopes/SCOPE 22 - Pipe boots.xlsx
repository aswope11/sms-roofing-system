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 bo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F4FD8"/>
      <sz val="10"/>
    </font>
    <font>
      <name val="Arial"/>
      <color rgb="00C00000"/>
      <sz val="10"/>
    </font>
    <font>
      <name val="Arial"/>
      <color rgb="001E7B34"/>
      <sz val="1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EEF4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0" pivotButton="0" quotePrefix="0" xfId="0"/>
    <xf numFmtId="164" fontId="6" fillId="6" borderId="0" pivotButton="0" quotePrefix="0" xfId="0"/>
    <xf numFmtId="0" fontId="6" fillId="4" borderId="0" pivotButton="0" quotePrefix="0" xfId="0"/>
    <xf numFmtId="0" fontId="0" fillId="4" borderId="0" pivotButton="0" quotePrefix="0" xfId="0"/>
    <xf numFmtId="10" fontId="7" fillId="5" borderId="0" pivotButton="0" quotePrefix="0" xfId="0"/>
    <xf numFmtId="0" fontId="7" fillId="5" borderId="0" pivotButton="0" quotePrefix="0" xfId="0"/>
    <xf numFmtId="0" fontId="7" fillId="5" borderId="1" pivotButton="0" quotePrefix="0" xfId="0"/>
    <xf numFmtId="4" fontId="8" fillId="0" borderId="0" pivotButton="0" quotePrefix="0" xfId="0"/>
    <xf numFmtId="0" fontId="6" fillId="0" borderId="0" pivotButton="0" quotePrefix="0" xfId="0"/>
    <xf numFmtId="164" fontId="7" fillId="5" borderId="0" pivotButton="0" quotePrefix="0" xfId="0"/>
    <xf numFmtId="164" fontId="0" fillId="0" borderId="0" pivotButton="0" quotePrefix="0" xfId="0"/>
    <xf numFmtId="164" fontId="7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9" customWidth="1" min="7" max="7"/>
    <col width="12" customWidth="1" min="8" max="8"/>
    <col width="14" customWidth="1" min="9" max="9"/>
    <col width="70" customWidth="1" min="10" max="10"/>
  </cols>
  <sheetData>
    <row r="1" ht="24" customHeight="1">
      <c r="A1" s="1" t="inlineStr">
        <is>
          <t>PIPE BOOTS</t>
        </is>
      </c>
    </row>
    <row r="2" ht="44" customHeight="1">
      <c r="A2" s="2" t="inlineStr">
        <is>
          <t>One molded boot per pipe, 4 seam plates each.</t>
        </is>
      </c>
    </row>
    <row r="3">
      <c r="A3" s="3" t="inlineStr">
        <is>
          <t>Came from: 03 TPO MA ISO + MA TPO — NEW CONSTRUCTION (10/8/26).   Blue = type here · green = reads another page · black = locked formula · red = RAW before rounding.</t>
        </is>
      </c>
    </row>
    <row r="5">
      <c r="A5" s="4" t="inlineStr">
        <is>
          <t>THIS SCOPE  —  WHAT IT ADDS TO THE BID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Materials  (before tax)</t>
        </is>
      </c>
      <c r="B6" s="7">
        <f>N(I26)</f>
        <v/>
      </c>
      <c r="J6" s="3" t="inlineStr">
        <is>
          <t>every priced line on this page added up — the line $ column</t>
        </is>
      </c>
    </row>
    <row r="7">
      <c r="A7" s="6" t="inlineStr">
        <is>
          <t>Sales tax  (material only)</t>
        </is>
      </c>
      <c r="B7" s="7">
        <f>N(B6)*N($B$15)</f>
        <v/>
      </c>
    </row>
    <row r="8">
      <c r="A8" s="6" t="inlineStr">
        <is>
          <t>Material markup</t>
        </is>
      </c>
      <c r="B8" s="7">
        <f>(N(B6)+N(B7))*N($B$16)</f>
        <v/>
      </c>
      <c r="J8" s="3" t="inlineStr">
        <is>
          <t>materials w/ tax x material markup — all-in items left out</t>
        </is>
      </c>
    </row>
    <row r="9">
      <c r="A9" s="6" t="inlineStr">
        <is>
          <t>All-in items  (never taxed, never marked up)</t>
        </is>
      </c>
      <c r="B9" s="7">
        <f>0</f>
        <v/>
      </c>
    </row>
    <row r="10">
      <c r="A10" s="6" t="inlineStr">
        <is>
          <t>Labor</t>
        </is>
      </c>
      <c r="B10" s="7">
        <f>N(G29)</f>
        <v/>
      </c>
    </row>
    <row r="11">
      <c r="A11" s="6" t="inlineStr">
        <is>
          <t>Travel  (per diem + hotels + travel markup)</t>
        </is>
      </c>
      <c r="B11" s="7">
        <f>N(H29)+N(I29)+N(J29)</f>
        <v/>
      </c>
    </row>
    <row r="12">
      <c r="A12" s="8" t="inlineStr">
        <is>
          <t>SCOPE TOTAL</t>
        </is>
      </c>
      <c r="B12" s="9">
        <f>N(B6)+N(B7)+N(B8)+N(B9)+N(B10)+N(B11)</f>
        <v/>
      </c>
    </row>
    <row r="14">
      <c r="A14" s="10" t="inlineStr">
        <is>
          <t>RATES &amp; SETUP  —  on a full bid these come from the Job page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t="inlineStr">
        <is>
          <t>Sales tax  (material only)</t>
        </is>
      </c>
      <c r="B15" s="12" t="n">
        <v>0.0825</v>
      </c>
      <c r="C15" t="inlineStr">
        <is>
          <t>%</t>
        </is>
      </c>
      <c r="J15" s="3" t="inlineStr">
        <is>
          <t>8.25% — material only, never labor. Scuppers and collector heads are all-in and never taxed.</t>
        </is>
      </c>
    </row>
    <row r="16">
      <c r="A16" t="inlineStr">
        <is>
          <t>Material markup  %</t>
        </is>
      </c>
      <c r="B16" s="12" t="n"/>
      <c r="C16" t="inlineStr">
        <is>
          <t>%</t>
        </is>
      </c>
      <c r="J16" s="3" t="inlineStr">
        <is>
          <t>VARIABLE — set it on THIS job. Materials carry no markup until it is answered.</t>
        </is>
      </c>
    </row>
    <row r="17">
      <c r="A17" t="inlineStr">
        <is>
          <t>Wage per man / day</t>
        </is>
      </c>
      <c r="B17" s="13" t="n">
        <v>270</v>
      </c>
      <c r="C17" t="inlineStr">
        <is>
          <t>$</t>
        </is>
      </c>
      <c r="J17" s="3" t="inlineStr">
        <is>
          <t>what a man costs a day</t>
        </is>
      </c>
    </row>
    <row r="18">
      <c r="A18" t="inlineStr">
        <is>
          <t>Overhead margin</t>
        </is>
      </c>
      <c r="B18" s="13" t="n">
        <v>0.5</v>
      </c>
      <c r="C18" t="inlineStr"/>
      <c r="J18" s="3" t="inlineStr">
        <is>
          <t>a margin, so it DIVIDES: 270 ÷ 50% = 540 a man a day</t>
        </is>
      </c>
    </row>
    <row r="19">
      <c r="A19" t="inlineStr">
        <is>
          <t>OUT OF TOWN?</t>
        </is>
      </c>
      <c r="B19" s="13" t="inlineStr">
        <is>
          <t>N</t>
        </is>
      </c>
      <c r="C19" t="inlineStr">
        <is>
          <t>Y / N</t>
        </is>
      </c>
      <c r="J19" s="3" t="inlineStr">
        <is>
          <t>Y turns on per diem, hotels and the travel markup</t>
        </is>
      </c>
    </row>
    <row r="20">
      <c r="A20" t="inlineStr">
        <is>
          <t>Per diem $ / man / day</t>
        </is>
      </c>
      <c r="B20" s="13" t="n">
        <v>60</v>
      </c>
      <c r="C20" t="inlineStr">
        <is>
          <t>$</t>
        </is>
      </c>
      <c r="J20" s="3" t="inlineStr">
        <is>
          <t>only counts when OUT OF TOWN = Y</t>
        </is>
      </c>
    </row>
    <row r="21">
      <c r="A21" t="inlineStr">
        <is>
          <t>Hotel $ / room / night</t>
        </is>
      </c>
      <c r="B21" s="13" t="n">
        <v>150</v>
      </c>
      <c r="C21" t="inlineStr">
        <is>
          <t>$</t>
        </is>
      </c>
      <c r="J21" s="3" t="inlineStr">
        <is>
          <t>two men a room — only counts when OUT OF TOWN = Y</t>
        </is>
      </c>
    </row>
    <row r="22">
      <c r="A22" t="inlineStr">
        <is>
          <t>Travel markup</t>
        </is>
      </c>
      <c r="B22" s="12" t="n">
        <v>0.3</v>
      </c>
      <c r="C22" t="inlineStr">
        <is>
          <t>%</t>
        </is>
      </c>
      <c r="J22" s="3" t="inlineStr">
        <is>
          <t>on per diem + hotels</t>
        </is>
      </c>
    </row>
    <row r="24">
      <c r="A24" t="inlineStr">
        <is>
          <t>Pipe boots</t>
        </is>
      </c>
      <c r="B24" s="14" t="n"/>
      <c r="C24" t="inlineStr">
        <is>
          <t>ea</t>
        </is>
      </c>
      <c r="J24" s="3" t="inlineStr"/>
    </row>
    <row r="25">
      <c r="A25" s="4" t="inlineStr">
        <is>
          <t>Item</t>
        </is>
      </c>
      <c r="B25" s="4" t="inlineStr">
        <is>
          <t>Driver</t>
        </is>
      </c>
      <c r="C25" s="4" t="inlineStr">
        <is>
          <t>Unit</t>
        </is>
      </c>
      <c r="D25" s="4" t="inlineStr">
        <is>
          <t>Factor</t>
        </is>
      </c>
      <c r="E25" s="4" t="inlineStr">
        <is>
          <t>RAW</t>
        </is>
      </c>
      <c r="F25" s="4" t="inlineStr">
        <is>
          <t>QTY</t>
        </is>
      </c>
      <c r="G25" s="4" t="inlineStr">
        <is>
          <t>Pkg</t>
        </is>
      </c>
      <c r="H25" s="4" t="inlineStr">
        <is>
          <t>$ each</t>
        </is>
      </c>
      <c r="I25" s="4" t="inlineStr">
        <is>
          <t>Line $</t>
        </is>
      </c>
      <c r="J25" s="4" t="inlineStr">
        <is>
          <t>How it is figured</t>
        </is>
      </c>
    </row>
    <row r="26">
      <c r="A26" t="inlineStr">
        <is>
          <t>TPO molded pipe boots</t>
        </is>
      </c>
      <c r="B26" s="6">
        <f>$B$24</f>
        <v/>
      </c>
      <c r="C26" t="inlineStr">
        <is>
          <t>ea</t>
        </is>
      </c>
      <c r="D26" s="13" t="n">
        <v>1</v>
      </c>
      <c r="E26" s="15">
        <f>IFERROR(IF(OR(B26="",D26=""),"",N(B26)*N(D26)),"")</f>
        <v/>
      </c>
      <c r="F26" s="16">
        <f>IFERROR(IF(E26="","",ROUNDUP(E26,0)),"")</f>
        <v/>
      </c>
      <c r="G26" t="inlineStr">
        <is>
          <t>ea</t>
        </is>
      </c>
      <c r="H26" s="17" t="n">
        <v>44.5</v>
      </c>
      <c r="I26" s="18">
        <f>IFERROR(IF(OR(F26="",H26=""),"",N(F26)*N(H26)),"")</f>
        <v/>
      </c>
      <c r="J26" s="3" t="inlineStr">
        <is>
          <t>one molded boot per pipe   ·   41047  GAF TPO Vent Boots White 1"-6"  ·  6 EA/CTN</t>
        </is>
      </c>
    </row>
    <row r="27">
      <c r="A27" t="inlineStr">
        <is>
          <t>Seam plates  (goes to the TPO roof page)</t>
        </is>
      </c>
      <c r="B27" s="6">
        <f>N($B$24)*4</f>
        <v/>
      </c>
      <c r="C27" t="inlineStr">
        <is>
          <t>plate</t>
        </is>
      </c>
      <c r="J27" s="3" t="inlineStr">
        <is>
          <t>4 a boot</t>
        </is>
      </c>
    </row>
    <row r="28">
      <c r="A28" s="4" t="inlineStr">
        <is>
          <t>TRADE</t>
        </is>
      </c>
      <c r="B28" s="4" t="inlineStr">
        <is>
          <t>MEN</t>
        </is>
      </c>
      <c r="C28" s="4" t="inlineStr">
        <is>
          <t>PER DAY  /  $ EACH</t>
        </is>
      </c>
      <c r="D28" s="4" t="inlineStr">
        <is>
          <t>QTY</t>
        </is>
      </c>
      <c r="E28" s="4" t="inlineStr">
        <is>
          <t>UNIT</t>
        </is>
      </c>
      <c r="F28" s="4" t="inlineStr">
        <is>
          <t>DAYS</t>
        </is>
      </c>
      <c r="G28" s="4" t="inlineStr">
        <is>
          <t>LABOR $</t>
        </is>
      </c>
      <c r="H28" s="4" t="inlineStr">
        <is>
          <t>PER DIEM</t>
        </is>
      </c>
      <c r="I28" s="4" t="inlineStr">
        <is>
          <t>HOTEL</t>
        </is>
      </c>
      <c r="J28" s="4" t="inlineStr">
        <is>
          <t>TRAVEL MKUP</t>
        </is>
      </c>
    </row>
    <row r="29">
      <c r="A29" t="inlineStr">
        <is>
          <t>Pipe boots</t>
        </is>
      </c>
      <c r="B29" s="14" t="n"/>
      <c r="C29" s="19" t="n"/>
      <c r="D29" s="20">
        <f>$B$24</f>
        <v/>
      </c>
      <c r="E29" t="inlineStr">
        <is>
          <t>ea</t>
        </is>
      </c>
      <c r="G29" s="18">
        <f>IFERROR(IF(OR(N(D29)=0,N(C29)=0),"",N(D29)*N(C29)),"")</f>
        <v/>
      </c>
    </row>
  </sheetData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</worksheet>
</file>