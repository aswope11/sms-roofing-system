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up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1" pivotButton="0" quotePrefix="0" xfId="0"/>
    <xf numFmtId="0" fontId="7" fillId="5" borderId="0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SCUPPERS &amp; COLLECTOR HEADS</t>
        </is>
      </c>
    </row>
    <row r="2" ht="44" customHeight="1">
      <c r="A2" s="2" t="inlineStr">
        <is>
          <t>FINAL all-in prices each (labor-loaded) — never taxed, never marked up.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0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N(I21)+N(I22)</f>
        <v/>
      </c>
    </row>
    <row r="10">
      <c r="A10" s="6" t="inlineStr">
        <is>
          <t>Labor</t>
        </is>
      </c>
      <c r="B10" s="7">
        <f>0</f>
        <v/>
      </c>
    </row>
    <row r="11">
      <c r="A11" s="6" t="inlineStr">
        <is>
          <t>Travel  (per diem + hotels + travel markup)</t>
        </is>
      </c>
      <c r="B11" s="7">
        <f>0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8">
      <c r="A18" t="inlineStr">
        <is>
          <t>Scuppers</t>
        </is>
      </c>
      <c r="B18" s="13" t="n"/>
      <c r="C18" t="inlineStr">
        <is>
          <t>ea</t>
        </is>
      </c>
      <c r="J18" s="3" t="inlineStr"/>
    </row>
    <row r="19">
      <c r="A19" t="inlineStr">
        <is>
          <t>Collector heads</t>
        </is>
      </c>
      <c r="B19" s="13" t="n"/>
      <c r="C19" t="inlineStr">
        <is>
          <t>ea</t>
        </is>
      </c>
      <c r="J19" s="3" t="inlineStr"/>
    </row>
    <row r="20">
      <c r="A20" s="4" t="inlineStr">
        <is>
          <t>Item</t>
        </is>
      </c>
      <c r="B20" s="4" t="inlineStr">
        <is>
          <t>Driver</t>
        </is>
      </c>
      <c r="C20" s="4" t="inlineStr">
        <is>
          <t>Unit</t>
        </is>
      </c>
      <c r="D20" s="4" t="inlineStr">
        <is>
          <t>Factor</t>
        </is>
      </c>
      <c r="E20" s="4" t="inlineStr">
        <is>
          <t>RAW</t>
        </is>
      </c>
      <c r="F20" s="4" t="inlineStr">
        <is>
          <t>QTY</t>
        </is>
      </c>
      <c r="G20" s="4" t="inlineStr">
        <is>
          <t>Pkg</t>
        </is>
      </c>
      <c r="H20" s="4" t="inlineStr">
        <is>
          <t>$ each</t>
        </is>
      </c>
      <c r="I20" s="4" t="inlineStr">
        <is>
          <t>Line $</t>
        </is>
      </c>
      <c r="J20" s="4" t="inlineStr">
        <is>
          <t>How it is figured</t>
        </is>
      </c>
    </row>
    <row r="21">
      <c r="A21" t="inlineStr">
        <is>
          <t>Scuppers</t>
        </is>
      </c>
      <c r="B21" s="6">
        <f>$B$18</f>
        <v/>
      </c>
      <c r="C21" t="inlineStr">
        <is>
          <t>ea</t>
        </is>
      </c>
      <c r="D21" s="14" t="n">
        <v>1</v>
      </c>
      <c r="E21" s="15">
        <f>IFERROR(IF(OR(B21="",D21=""),"",N(B21)*N(D21)),"")</f>
        <v/>
      </c>
      <c r="F21" s="16">
        <f>IFERROR(IF(E21="","",ROUNDUP(E21,0)),"")</f>
        <v/>
      </c>
      <c r="G21" t="inlineStr">
        <is>
          <t>ea</t>
        </is>
      </c>
      <c r="H21" s="17" t="n">
        <v>200</v>
      </c>
      <c r="I21" s="18">
        <f>IFERROR(IF(OR(F21="",H21=""),"",N(F21)*N(H21)),"")</f>
        <v/>
      </c>
      <c r="J21" s="3" t="inlineStr"/>
    </row>
    <row r="22">
      <c r="A22" t="inlineStr">
        <is>
          <t>Collector heads</t>
        </is>
      </c>
      <c r="B22" s="6">
        <f>$B$19</f>
        <v/>
      </c>
      <c r="C22" t="inlineStr">
        <is>
          <t>ea</t>
        </is>
      </c>
      <c r="D22" s="14" t="n">
        <v>1</v>
      </c>
      <c r="E22" s="15">
        <f>IFERROR(IF(OR(B22="",D22=""),"",N(B22)*N(D22)),"")</f>
        <v/>
      </c>
      <c r="F22" s="16">
        <f>IFERROR(IF(E22="","",ROUNDUP(E22,0)),"")</f>
        <v/>
      </c>
      <c r="G22" t="inlineStr">
        <is>
          <t>ea</t>
        </is>
      </c>
      <c r="H22" s="17" t="n">
        <v>300</v>
      </c>
      <c r="I22" s="18">
        <f>IFERROR(IF(OR(F22="",H22=""),"",N(F22)*N(H22)),"")</f>
        <v/>
      </c>
      <c r="J22" s="3" t="inlineStr"/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