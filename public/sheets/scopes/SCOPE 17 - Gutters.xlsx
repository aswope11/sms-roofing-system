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1" pivotButton="0" quotePrefix="0" xfId="0"/>
    <xf numFmtId="164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GUTTERS</t>
        </is>
      </c>
    </row>
    <row r="2" ht="44" customHeight="1">
      <c r="A2" s="2" t="inlineStr">
        <is>
          <t>Straight from the takeoff, one line. Add a row only if a job runs two different profiles.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N(I31)+N(I32)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N(G34)+N(G35)</f>
        <v/>
      </c>
    </row>
    <row r="11">
      <c r="A11" s="6" t="inlineStr">
        <is>
          <t>Travel  (per diem + hotels + travel markup)</t>
        </is>
      </c>
      <c r="B11" s="7">
        <f>N(H34)+N(I34)+N(J34)+N(H35)+N(I35)+N(J35)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3">
      <c r="A23" t="inlineStr">
        <is>
          <t>Shop fab  $ per sheet</t>
        </is>
      </c>
      <c r="B23" s="13" t="n">
        <v>40</v>
      </c>
      <c r="C23" t="inlineStr">
        <is>
          <t>$</t>
        </is>
      </c>
      <c r="J23" s="3" t="inlineStr">
        <is>
          <t>every sheet of flat metal gets $40 a sheet fab</t>
        </is>
      </c>
    </row>
    <row r="25">
      <c r="A25" t="inlineStr">
        <is>
          <t>LF</t>
        </is>
      </c>
      <c r="B25" s="14" t="n"/>
      <c r="C25" t="inlineStr">
        <is>
          <t>LF</t>
        </is>
      </c>
      <c r="J25" s="3" t="inlineStr"/>
    </row>
    <row r="26">
      <c r="A26" t="inlineStr">
        <is>
          <t>Stretch-out (in)</t>
        </is>
      </c>
      <c r="B26" s="14" t="n"/>
      <c r="C26" t="inlineStr">
        <is>
          <t>in</t>
        </is>
      </c>
      <c r="J26" s="3" t="inlineStr"/>
    </row>
    <row r="27">
      <c r="A27" t="inlineStr">
        <is>
          <t>Fabricate?</t>
        </is>
      </c>
      <c r="B27" s="14" t="inlineStr">
        <is>
          <t>Y</t>
        </is>
      </c>
      <c r="C27" t="inlineStr">
        <is>
          <t>Y / N</t>
        </is>
      </c>
      <c r="J27" s="3" t="inlineStr">
        <is>
          <t>if N — who supplies. Buys by the foot instead.</t>
        </is>
      </c>
    </row>
    <row r="28">
      <c r="A28" t="inlineStr">
        <is>
          <t>Strips</t>
        </is>
      </c>
      <c r="B28" s="6">
        <f>IFERROR(IF(UPPER($B$27)&lt;&gt;"Y","",IF($B$26="","",ROUNDDOWN(48/N($B$26),0))),"")</f>
        <v/>
      </c>
      <c r="C28" t="inlineStr"/>
      <c r="J28" s="3" t="inlineStr">
        <is>
          <t>48 ÷ stretch-out, round DOWN</t>
        </is>
      </c>
    </row>
    <row r="29">
      <c r="A29" t="inlineStr">
        <is>
          <t>Ft / sheet</t>
        </is>
      </c>
      <c r="B29" s="6">
        <f>IFERROR(IF(UPPER($B$27)&lt;&gt;"Y","",IF($B$28="","",N($B$28)*10)),"")</f>
        <v/>
      </c>
      <c r="C29" t="inlineStr">
        <is>
          <t>ft</t>
        </is>
      </c>
      <c r="J29" s="3" t="inlineStr">
        <is>
          <t>x 10</t>
        </is>
      </c>
    </row>
    <row r="30">
      <c r="A30" s="4" t="inlineStr">
        <is>
          <t>Item</t>
        </is>
      </c>
      <c r="B30" s="4" t="inlineStr">
        <is>
          <t>Driver</t>
        </is>
      </c>
      <c r="C30" s="4" t="inlineStr">
        <is>
          <t>Unit</t>
        </is>
      </c>
      <c r="D30" s="4" t="inlineStr">
        <is>
          <t>Factor</t>
        </is>
      </c>
      <c r="E30" s="4" t="inlineStr">
        <is>
          <t>RAW</t>
        </is>
      </c>
      <c r="F30" s="4" t="inlineStr">
        <is>
          <t>QTY</t>
        </is>
      </c>
      <c r="G30" s="4" t="inlineStr">
        <is>
          <t>Pkg</t>
        </is>
      </c>
      <c r="H30" s="4" t="inlineStr">
        <is>
          <t>$ each</t>
        </is>
      </c>
      <c r="I30" s="4" t="inlineStr">
        <is>
          <t>Line $</t>
        </is>
      </c>
      <c r="J30" s="4" t="inlineStr">
        <is>
          <t>How it is figured</t>
        </is>
      </c>
    </row>
    <row r="31">
      <c r="A31" t="inlineStr">
        <is>
          <t>Gutter metal</t>
        </is>
      </c>
      <c r="B31" s="6">
        <f>$B$25</f>
        <v/>
      </c>
      <c r="C31" t="inlineStr">
        <is>
          <t>LF</t>
        </is>
      </c>
      <c r="E31" s="15">
        <f>IFERROR(IF(UPPER($B$27)&lt;&gt;"Y","",IF(OR($B$25="",$B$29="",N($B$29)=0),"",N($B$25)/N($B$29))),"")</f>
        <v/>
      </c>
      <c r="F31" s="16">
        <f>IFERROR(IF(E31="","",ROUNDUP(E31,0)),"")</f>
        <v/>
      </c>
      <c r="G31" t="inlineStr">
        <is>
          <t>sheet</t>
        </is>
      </c>
      <c r="H31" s="17" t="n"/>
      <c r="I31" s="18">
        <f>IFERROR(IF(OR(F31="",H31=""),"",N(F31)*N(H31)),"")</f>
        <v/>
      </c>
      <c r="J31" s="3" t="inlineStr">
        <is>
          <t>LF ÷ ft per sheet, round UP</t>
        </is>
      </c>
    </row>
    <row r="32">
      <c r="A32" t="inlineStr">
        <is>
          <t>Gutter metal  —  prefab, per LF</t>
        </is>
      </c>
      <c r="B32" s="6">
        <f>$B$25</f>
        <v/>
      </c>
      <c r="C32" t="inlineStr">
        <is>
          <t>LF</t>
        </is>
      </c>
      <c r="E32" s="15">
        <f>IFERROR(IF(UPPER($B$27)="Y","",N($B$25)),"")</f>
        <v/>
      </c>
      <c r="F32" s="16">
        <f>IFERROR(IF(E32="","",ROUNDUP(E32,0)),"")</f>
        <v/>
      </c>
      <c r="G32" t="inlineStr">
        <is>
          <t>LF</t>
        </is>
      </c>
      <c r="H32" s="17" t="n"/>
      <c r="I32" s="18">
        <f>IFERROR(IF(OR(F32="",H32=""),"",N(F32)*N(H32)),"")</f>
        <v/>
      </c>
      <c r="J32" s="3" t="inlineStr">
        <is>
          <t>only when Fabricate = N — bought by the foot</t>
        </is>
      </c>
    </row>
    <row r="33">
      <c r="A33" s="4" t="inlineStr">
        <is>
          <t>TRADE</t>
        </is>
      </c>
      <c r="B33" s="4" t="inlineStr">
        <is>
          <t>MEN</t>
        </is>
      </c>
      <c r="C33" s="4" t="inlineStr">
        <is>
          <t>PER DAY  /  $ EACH</t>
        </is>
      </c>
      <c r="D33" s="4" t="inlineStr">
        <is>
          <t>QTY</t>
        </is>
      </c>
      <c r="E33" s="4" t="inlineStr">
        <is>
          <t>UNIT</t>
        </is>
      </c>
      <c r="F33" s="4" t="inlineStr">
        <is>
          <t>DAYS</t>
        </is>
      </c>
      <c r="G33" s="4" t="inlineStr">
        <is>
          <t>LABOR $</t>
        </is>
      </c>
      <c r="H33" s="4" t="inlineStr">
        <is>
          <t>PER DIEM</t>
        </is>
      </c>
      <c r="I33" s="4" t="inlineStr">
        <is>
          <t>HOTEL</t>
        </is>
      </c>
      <c r="J33" s="4" t="inlineStr">
        <is>
          <t>TRAVEL MKUP</t>
        </is>
      </c>
    </row>
    <row r="34">
      <c r="A34" t="inlineStr">
        <is>
          <t>Gutters</t>
        </is>
      </c>
      <c r="B34" s="14" t="n"/>
      <c r="C34" s="14" t="n"/>
      <c r="D34" s="19">
        <f>$B$25</f>
        <v/>
      </c>
      <c r="E34" t="inlineStr">
        <is>
          <t>LF</t>
        </is>
      </c>
      <c r="F34" s="20">
        <f>IFERROR(IF(N(C34)=0,"",N(D34)/N(C34)),"")</f>
        <v/>
      </c>
      <c r="G34" s="18">
        <f>IFERROR(IF(OR(N(F34)=0,N(B34)=0),"",N(F34)*N(B34)*IFERROR(N($B$17)/N($B$18),0)),"")</f>
        <v/>
      </c>
      <c r="H34" s="18">
        <f>IFERROR(IF(OR(N(B34)=0,N(F34)=0),"",N(B34)*N(F34)*N($B$20)*IF(UPPER($B$19)="Y",1,0)),"")</f>
        <v/>
      </c>
      <c r="I34" s="18">
        <f>IFERROR(IF(OR(N(B34)=0,N(F34)=0),"",ROUNDUP(N(B34)/2,0)*N(F34)*N($B$21)*IF(UPPER($B$19)="Y",1,0)),"")</f>
        <v/>
      </c>
      <c r="J34" s="18">
        <f>IFERROR((N(H34)+N(I34))*N($B$22),"")</f>
        <v/>
      </c>
    </row>
    <row r="35">
      <c r="A35" t="inlineStr">
        <is>
          <t>Shop fabrication — flat metal</t>
        </is>
      </c>
      <c r="B35" s="21" t="n"/>
      <c r="C35" s="22">
        <f>$B$23</f>
        <v/>
      </c>
      <c r="D35" s="19">
        <f>$F$31</f>
        <v/>
      </c>
      <c r="E35" t="inlineStr">
        <is>
          <t>sheet</t>
        </is>
      </c>
      <c r="G35" s="18">
        <f>IFERROR(IF(OR(N(D35)=0,N(C35)=0),"",N(D35)*N(C35)),"")</f>
        <v/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